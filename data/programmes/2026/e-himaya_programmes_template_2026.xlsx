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عليمات" sheetId="1" state="visible" r:id="rId3"/>
    <sheet name="البرامج" sheetId="2" state="visible" r:id="rId4"/>
    <sheet name="النقاط" sheetId="3" state="visible" r:id="rId5"/>
    <sheet name="القوائم" sheetId="4" state="visible" r:id="rId6"/>
  </sheets>
  <definedNames>
    <definedName function="false" hidden="true" localSheetId="2" name="_xlnm._FilterDatabase" vbProcedure="false">النقاط!$A$1:$U$214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الخانات الصفراء للإدخال؛ الرمادية معادلات تُحسب من ورقة النقاط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program_id: </t>
        </r>
        <r>
          <rPr>
            <sz val="10"/>
            <rFont val="FreeSans"/>
            <family val="2"/>
          </rPr>
          <t xml:space="preserve">إلزامي، من ورقة البرامج</t>
        </r>
      </text>
    </comment>
    <comment ref="B1" authorId="0">
      <text>
        <r>
          <rPr>
            <sz val="10"/>
            <rFont val="Arial"/>
            <family val="2"/>
          </rPr>
          <t xml:space="preserve">point_id: </t>
        </r>
        <r>
          <rPr>
            <sz val="10"/>
            <rFont val="FreeSans"/>
            <family val="2"/>
          </rPr>
          <t xml:space="preserve">إلزامي وفريد داخل البرنامج</t>
        </r>
      </text>
    </comment>
    <comment ref="C1" authorId="0">
      <text>
        <r>
          <rPr>
            <sz val="10"/>
            <rFont val="Arial"/>
            <family val="2"/>
          </rPr>
          <t xml:space="preserve">governorate: </t>
        </r>
        <r>
          <rPr>
            <sz val="10"/>
            <rFont val="FreeSans"/>
            <family val="2"/>
          </rPr>
          <t xml:space="preserve">إلزامي، من القائمة</t>
        </r>
      </text>
    </comment>
    <comment ref="D1" authorId="0">
      <text>
        <r>
          <rPr>
            <sz val="10"/>
            <rFont val="Arial"/>
            <family val="2"/>
          </rPr>
          <t xml:space="preserve">place_name: </t>
        </r>
        <r>
          <rPr>
            <sz val="10"/>
            <rFont val="FreeSans"/>
            <family val="2"/>
          </rPr>
          <t xml:space="preserve">إلزامي</t>
        </r>
      </text>
    </comment>
    <comment ref="E1" authorId="0">
      <text>
        <r>
          <rPr>
            <sz val="10"/>
            <rFont val="Arial"/>
            <family val="2"/>
          </rPr>
          <t xml:space="preserve">sub_points: </t>
        </r>
        <r>
          <rPr>
            <sz val="10"/>
            <rFont val="FreeSans"/>
            <family val="2"/>
          </rPr>
          <t xml:space="preserve">اختياري، تفصل بعلامة </t>
        </r>
        <r>
          <rPr>
            <sz val="10"/>
            <rFont val="Arial"/>
            <family val="2"/>
          </rPr>
          <t xml:space="preserve">+</t>
        </r>
      </text>
    </comment>
    <comment ref="F1" authorId="0">
      <text>
        <r>
          <rPr>
            <sz val="10"/>
            <rFont val="Arial"/>
            <family val="2"/>
          </rPr>
          <t xml:space="preserve">latitude: </t>
        </r>
        <r>
          <rPr>
            <sz val="10"/>
            <rFont val="FreeSans"/>
            <family val="2"/>
          </rPr>
          <t xml:space="preserve">عشري </t>
        </r>
        <r>
          <rPr>
            <sz val="10"/>
            <rFont val="Arial"/>
            <family val="2"/>
          </rPr>
          <t xml:space="preserve">WGS84</t>
        </r>
        <r>
          <rPr>
            <sz val="10"/>
            <rFont val="FreeSans"/>
            <family val="2"/>
          </rPr>
          <t xml:space="preserve">، مثل </t>
        </r>
        <r>
          <rPr>
            <sz val="10"/>
            <rFont val="Arial"/>
            <family val="2"/>
          </rPr>
          <t xml:space="preserve">36.85</t>
        </r>
      </text>
    </comment>
    <comment ref="G1" authorId="0">
      <text>
        <r>
          <rPr>
            <sz val="10"/>
            <rFont val="Arial"/>
            <family val="2"/>
          </rPr>
          <t xml:space="preserve">longitude: </t>
        </r>
        <r>
          <rPr>
            <sz val="10"/>
            <rFont val="FreeSans"/>
            <family val="2"/>
          </rPr>
          <t xml:space="preserve">عشري </t>
        </r>
        <r>
          <rPr>
            <sz val="10"/>
            <rFont val="Arial"/>
            <family val="2"/>
          </rPr>
          <t xml:space="preserve">WGS84</t>
        </r>
        <r>
          <rPr>
            <sz val="10"/>
            <rFont val="FreeSans"/>
            <family val="2"/>
          </rPr>
          <t xml:space="preserve">، مثل </t>
        </r>
        <r>
          <rPr>
            <sz val="10"/>
            <rFont val="Arial"/>
            <family val="2"/>
          </rPr>
          <t xml:space="preserve">10.32</t>
        </r>
      </text>
    </comment>
    <comment ref="H1" authorId="0">
      <text>
        <r>
          <rPr>
            <sz val="10"/>
            <rFont val="Arial"/>
            <family val="2"/>
          </rPr>
          <t xml:space="preserve">geo_confidence: </t>
        </r>
        <r>
          <rPr>
            <sz val="10"/>
            <rFont val="FreeSans"/>
            <family val="2"/>
          </rPr>
          <t xml:space="preserve">تُملأ آلياً عند الاستيراد</t>
        </r>
      </text>
    </comment>
    <comment ref="I1" authorId="0">
      <text>
        <r>
          <rPr>
            <sz val="10"/>
            <rFont val="Arial"/>
            <family val="2"/>
          </rPr>
          <t xml:space="preserve">staff_count: </t>
        </r>
        <r>
          <rPr>
            <sz val="10"/>
            <rFont val="FreeSans"/>
            <family val="2"/>
          </rPr>
          <t xml:space="preserve">عدد صحيح</t>
        </r>
      </text>
    </comment>
    <comment ref="J1" authorId="0">
      <text>
        <r>
          <rPr>
            <sz val="10"/>
            <rFont val="Arial"/>
            <family val="2"/>
          </rPr>
          <t xml:space="preserve">staff_composition: </t>
        </r>
        <r>
          <rPr>
            <sz val="10"/>
            <rFont val="FreeSans"/>
            <family val="2"/>
          </rPr>
          <t xml:space="preserve">نص حر</t>
        </r>
      </text>
    </comment>
    <comment ref="K1" authorId="0">
      <text>
        <r>
          <rPr>
            <sz val="10"/>
            <rFont val="Arial"/>
            <family val="2"/>
          </rPr>
          <t xml:space="preserve">supervisors: </t>
        </r>
        <r>
          <rPr>
            <sz val="10"/>
            <rFont val="FreeSans"/>
            <family val="2"/>
          </rPr>
          <t xml:space="preserve">عدد صحيح</t>
        </r>
      </text>
    </comment>
    <comment ref="L1" authorId="0">
      <text>
        <r>
          <rPr>
            <sz val="10"/>
            <rFont val="Arial"/>
            <family val="2"/>
          </rPr>
          <t xml:space="preserve">lifeguards_planned: </t>
        </r>
        <r>
          <rPr>
            <sz val="10"/>
            <rFont val="FreeSans"/>
            <family val="2"/>
          </rPr>
          <t xml:space="preserve">عدد صحيح، للشواطئ</t>
        </r>
      </text>
    </comment>
    <comment ref="M1" authorId="0">
      <text>
        <r>
          <rPr>
            <sz val="10"/>
            <rFont val="Arial"/>
            <family val="2"/>
          </rPr>
          <t xml:space="preserve">lifeguards_deployed: </t>
        </r>
        <r>
          <rPr>
            <sz val="10"/>
            <rFont val="FreeSans"/>
            <family val="2"/>
          </rPr>
          <t xml:space="preserve">عدد صحيح، يُحيَّن يومياً</t>
        </r>
      </text>
    </comment>
    <comment ref="N1" authorId="0">
      <text>
        <r>
          <rPr>
            <sz val="10"/>
            <rFont val="Arial"/>
            <family val="2"/>
          </rPr>
          <t xml:space="preserve">equipment: </t>
        </r>
        <r>
          <rPr>
            <sz val="10"/>
            <rFont val="FreeSans"/>
            <family val="2"/>
          </rPr>
          <t xml:space="preserve">نص حر</t>
        </r>
      </text>
    </comment>
    <comment ref="O1" authorId="0">
      <text>
        <r>
          <rPr>
            <sz val="10"/>
            <rFont val="Arial"/>
            <family val="2"/>
          </rPr>
          <t xml:space="preserve">hours: </t>
        </r>
        <r>
          <rPr>
            <sz val="10"/>
            <rFont val="FreeSans"/>
            <family val="2"/>
          </rPr>
          <t xml:space="preserve">مثل </t>
        </r>
        <r>
          <rPr>
            <sz val="10"/>
            <rFont val="Arial"/>
            <family val="2"/>
          </rPr>
          <t xml:space="preserve">24/24 أو 10:00-18:00</t>
        </r>
      </text>
    </comment>
    <comment ref="P1" authorId="0">
      <text>
        <r>
          <rPr>
            <sz val="10"/>
            <rFont val="Arial"/>
            <family val="2"/>
          </rPr>
          <t xml:space="preserve">opening_date: YYYY-MM-DD</t>
        </r>
      </text>
    </comment>
    <comment ref="Q1" authorId="0">
      <text>
        <r>
          <rPr>
            <sz val="10"/>
            <rFont val="Arial"/>
            <family val="2"/>
          </rPr>
          <t xml:space="preserve">closing_date: YYYY-MM-DD</t>
        </r>
      </text>
    </comment>
    <comment ref="R1" authorId="0">
      <text>
        <r>
          <rPr>
            <sz val="10"/>
            <rFont val="Arial"/>
            <family val="2"/>
          </rPr>
          <t xml:space="preserve">point_status: </t>
        </r>
        <r>
          <rPr>
            <sz val="10"/>
            <rFont val="FreeSans"/>
            <family val="2"/>
          </rPr>
          <t xml:space="preserve">مبرمجة / مفتوحة / مغلقة</t>
        </r>
      </text>
    </comment>
    <comment ref="S1" authorId="0">
      <text>
        <r>
          <rPr>
            <sz val="10"/>
            <rFont val="Arial"/>
            <family val="2"/>
          </rPr>
          <t xml:space="preserve">supervisor_name: </t>
        </r>
        <r>
          <rPr>
            <sz val="10"/>
            <rFont val="FreeSans"/>
            <family val="2"/>
          </rPr>
          <t xml:space="preserve">لا يظهر إلا لأعوان القاعة</t>
        </r>
      </text>
    </comment>
    <comment ref="T1" authorId="0">
      <text>
        <r>
          <rPr>
            <sz val="10"/>
            <rFont val="Arial"/>
            <family val="2"/>
          </rPr>
          <t xml:space="preserve">supervisor_phone: </t>
        </r>
        <r>
          <rPr>
            <sz val="10"/>
            <rFont val="FreeSans"/>
            <family val="2"/>
          </rPr>
          <t xml:space="preserve">لا يظهر إلا لأعوان القاعة</t>
        </r>
      </text>
    </comment>
    <comment ref="U1" authorId="0">
      <text>
        <r>
          <rPr>
            <sz val="10"/>
            <rFont val="Arial"/>
            <family val="2"/>
          </rPr>
          <t xml:space="preserve">notes: </t>
        </r>
        <r>
          <rPr>
            <sz val="10"/>
            <rFont val="FreeSans"/>
            <family val="2"/>
          </rPr>
          <t xml:space="preserve">اختياري</t>
        </r>
      </text>
    </comment>
  </commentList>
</comments>
</file>

<file path=xl/sharedStrings.xml><?xml version="1.0" encoding="utf-8"?>
<sst xmlns="http://schemas.openxmlformats.org/spreadsheetml/2006/main" count="2130" uniqueCount="662">
  <si>
    <t xml:space="preserve">نموذج برامج التركيز الموسمية لمنظومة ء-حماية</t>
  </si>
  <si>
    <t xml:space="preserve">يُستعمل لإدخال البرامج السنوية أو الفصلية (نقاط النجدة بالطرقات، المراكز الموسمية، التركز بالشواطئ، أو أي برنامج آخر) ورفعها إلى المنظومة لتظهر طبقاتٍ على الخريطة.</t>
  </si>
  <si>
    <t xml:space="preserve">1. ورقة «البرامج»: سطر واحد لكل برنامج. المعرّف فريد (مثل BEACH-2027). تاريخا السريان يحددان متى تظهر الطبقة على الخريطة.</t>
  </si>
  <si>
    <t xml:space="preserve">2. ورقة «النقاط»: سطر لكل نقطة، مربوط بالبرنامج عبر «معرّف البرنامج». الخانات الصفراء للإدخال، والرمادية تُملأ آلياً.</t>
  </si>
  <si>
    <t xml:space="preserve">3. الإحداثيات اختيارية عند الإدخال: إن غابت يقترحها النظام من الاسم ويؤكدها المدير بالنقر على الخريطة.</t>
  </si>
  <si>
    <t xml:space="preserve">4. التحيين: عدّل الأسطر وارفع الملف من جديد بنفس معرّف البرنامج ونسخة أعلى؛ النظام يعرض الفروق قبل الاعتماد ويحفظ النسخة السابقة.</t>
  </si>
  <si>
    <t xml:space="preserve">5. خانتا المشرف وهاتفه مقيّدتان: لا تظهران إلا لأعوان القاعة المعنية (معطيات شخصية، القانون الأساسي عدد 63 لسنة 2004).</t>
  </si>
  <si>
    <t xml:space="preserve">6. الصيغ المقبولة للرفع: هذا الملف (xlsx)، أو CSV بنفس أسماء الأعمدة الإنجليزية، أو JSON حسب الملف program_schema.json.</t>
  </si>
  <si>
    <t xml:space="preserve">محتوى الملف الآن: برامج صائفة 2026 الثلاثة، محوّلة من وثائق Word كمثال حقيقي. دقة التموقع مذكورة لكل نقطة في عمود «دقة التموقع».</t>
  </si>
  <si>
    <t xml:space="preserve">ملاحظة على المصدر: المجموع العام في جدول الشواطئ (2154 / 1439) لا يطابق مجموع المجاميع الجهوية؛ لذلك تُحسب المجاميع هنا بالمعادلات من الأسطر.</t>
  </si>
  <si>
    <t xml:space="preserve">معرّف البرنامج</t>
  </si>
  <si>
    <t xml:space="preserve">نوع البرنامج</t>
  </si>
  <si>
    <t xml:space="preserve">العنوان</t>
  </si>
  <si>
    <t xml:space="preserve">الموسم</t>
  </si>
  <si>
    <t xml:space="preserve">ساري من</t>
  </si>
  <si>
    <t xml:space="preserve">ساري إلى</t>
  </si>
  <si>
    <t xml:space="preserve">النسخة</t>
  </si>
  <si>
    <t xml:space="preserve">الحالة</t>
  </si>
  <si>
    <t xml:space="preserve">اعتمده</t>
  </si>
  <si>
    <t xml:space="preserve">تاريخ الاعتماد</t>
  </si>
  <si>
    <t xml:space="preserve">الوثيقة المصدر</t>
  </si>
  <si>
    <t xml:space="preserve">عدد النقاط</t>
  </si>
  <si>
    <t xml:space="preserve">نقاط بلا إحداثيات</t>
  </si>
  <si>
    <t xml:space="preserve">الأعوان</t>
  </si>
  <si>
    <t xml:space="preserve">المنقذون المبرمجون</t>
  </si>
  <si>
    <t xml:space="preserve">المنقذون المركّزون</t>
  </si>
  <si>
    <t xml:space="preserve">ROAD-2026</t>
  </si>
  <si>
    <t xml:space="preserve">نقاط النجدة والإسعاف بالطرقات</t>
  </si>
  <si>
    <t xml:space="preserve">مراكز النجدة والإسعاف بالطرقات لتأمين الموسم الصيفي والسياحي</t>
  </si>
  <si>
    <t xml:space="preserve">صائفة 2026</t>
  </si>
  <si>
    <t xml:space="preserve">2026-06-15</t>
  </si>
  <si>
    <t xml:space="preserve">2026-09-15</t>
  </si>
  <si>
    <t xml:space="preserve">معتمد</t>
  </si>
  <si>
    <t xml:space="preserve">جدول مراكز النجدة والإسعاف بالطرقات لصائفة 2026 (Word)</t>
  </si>
  <si>
    <t xml:space="preserve">SEAS-2026</t>
  </si>
  <si>
    <t xml:space="preserve">المراكز الموسمية</t>
  </si>
  <si>
    <t xml:space="preserve">تركيز المراكز الموسمية لحماية الثروة الفلاحية والغابية (حماية مدنية وغابات)</t>
  </si>
  <si>
    <t xml:space="preserve">2026-06-01</t>
  </si>
  <si>
    <t xml:space="preserve">2026-09-30</t>
  </si>
  <si>
    <t xml:space="preserve">جدول تركيز المراكز الموسمية لصائفة 2026 (Word)</t>
  </si>
  <si>
    <t xml:space="preserve">BEACH-2026</t>
  </si>
  <si>
    <t xml:space="preserve">التركز بالشواطئ</t>
  </si>
  <si>
    <t xml:space="preserve">التركيز التدريجي لوحدات الحماية المدنية بالشواطئ</t>
  </si>
  <si>
    <t xml:space="preserve">جدول متابعة التركيز التدريجي بالشواطئ ليوم 04-07-2026 (Word)</t>
  </si>
  <si>
    <t xml:space="preserve">معرّف النقطة</t>
  </si>
  <si>
    <t xml:space="preserve">الولاية</t>
  </si>
  <si>
    <t xml:space="preserve">المكان / النقطة الرئيسية</t>
  </si>
  <si>
    <t xml:space="preserve">النقاط الفرعية</t>
  </si>
  <si>
    <t xml:space="preserve">خط العرض</t>
  </si>
  <si>
    <t xml:space="preserve">خط الطول</t>
  </si>
  <si>
    <t xml:space="preserve">دقة التموقع</t>
  </si>
  <si>
    <t xml:space="preserve">عدد الأعوان</t>
  </si>
  <si>
    <t xml:space="preserve">تركيبة الفريق</t>
  </si>
  <si>
    <t xml:space="preserve">عدد المشرفين</t>
  </si>
  <si>
    <t xml:space="preserve">السباحون المنقذون (المبرمج)</t>
  </si>
  <si>
    <t xml:space="preserve">السباحون المنقذون (المركّز)</t>
  </si>
  <si>
    <t xml:space="preserve">الإمكانيات المادية</t>
  </si>
  <si>
    <t xml:space="preserve">توقيت العمل</t>
  </si>
  <si>
    <t xml:space="preserve">تاريخ الفتح</t>
  </si>
  <si>
    <t xml:space="preserve">تاريخ الغلق</t>
  </si>
  <si>
    <t xml:space="preserve">حالة النقطة</t>
  </si>
  <si>
    <t xml:space="preserve">المشرف (مقيّد)</t>
  </si>
  <si>
    <t xml:space="preserve">هاتف المشرف (مقيّد)</t>
  </si>
  <si>
    <t xml:space="preserve">ملاحظات</t>
  </si>
  <si>
    <t xml:space="preserve">ROAD-2026-01</t>
  </si>
  <si>
    <t xml:space="preserve">بنزرت</t>
  </si>
  <si>
    <t xml:space="preserve">مركز نجدة وإسعاف على الطريق السيارة. أ4. تونس بنزرت. كم22</t>
  </si>
  <si>
    <t xml:space="preserve">مؤكدة: إحداثيات البرنامج</t>
  </si>
  <si>
    <t xml:space="preserve">أمر حضيرة + سائق + عون + 02 متطوع</t>
  </si>
  <si>
    <t xml:space="preserve">سيارة إسعاف حماية مدنية</t>
  </si>
  <si>
    <t xml:space="preserve">24/24</t>
  </si>
  <si>
    <t xml:space="preserve">مفتوحة</t>
  </si>
  <si>
    <t xml:space="preserve">ROAD-2026-02</t>
  </si>
  <si>
    <t xml:space="preserve">نابل</t>
  </si>
  <si>
    <t xml:space="preserve">مركز النجدة والإسعاف على الطريق السيارة رقم. أ1. كم31- البانية المجاورة للمصلحة الأولى لحرس المرور بتركي-نابل</t>
  </si>
  <si>
    <t xml:space="preserve">ROAD-2026-03</t>
  </si>
  <si>
    <t xml:space="preserve">باجة</t>
  </si>
  <si>
    <t xml:space="preserve">مركز نجدة وإسعاف بمجاز الباب على الطريق السيارة أ3 كم 45</t>
  </si>
  <si>
    <t xml:space="preserve">ROAD-2026-04</t>
  </si>
  <si>
    <t xml:space="preserve">المهدية</t>
  </si>
  <si>
    <t xml:space="preserve">المدرسة الإعدادية بسلقطة قصور الساف</t>
  </si>
  <si>
    <t xml:space="preserve">ROAD-2026-05</t>
  </si>
  <si>
    <t xml:space="preserve">المنستير</t>
  </si>
  <si>
    <t xml:space="preserve">المدرسة السياحية بالمنطقة السياحية</t>
  </si>
  <si>
    <t xml:space="preserve">ROAD-2026-06</t>
  </si>
  <si>
    <t xml:space="preserve">صفاقس</t>
  </si>
  <si>
    <t xml:space="preserve">مركز النجدة والإسعاف بمحول المحرس على الطريق السيارة أ1 صفاقس-قابس كم 281</t>
  </si>
  <si>
    <t xml:space="preserve">ROAD-2026-07</t>
  </si>
  <si>
    <t xml:space="preserve">مركز متقدم بالصخيرة</t>
  </si>
  <si>
    <t xml:space="preserve">أمر حضيرة + سائق + 02 متطوع</t>
  </si>
  <si>
    <t xml:space="preserve">ROAD-2026-08</t>
  </si>
  <si>
    <t xml:space="preserve">قابس</t>
  </si>
  <si>
    <t xml:space="preserve">بناية تابعة للإدارة الجهوية للتجهيز بمطماطة الجديدة</t>
  </si>
  <si>
    <t xml:space="preserve">ROAD-2026-09</t>
  </si>
  <si>
    <t xml:space="preserve">مركز الحماية المدنية على الطريق السيارة بعرام</t>
  </si>
  <si>
    <t xml:space="preserve">ROAD-2026-10</t>
  </si>
  <si>
    <t xml:space="preserve">مدنين</t>
  </si>
  <si>
    <t xml:space="preserve">مركز الحماية المدنية بالطريق السيارة محول بن قردان</t>
  </si>
  <si>
    <t xml:space="preserve">SEAS-2026-01</t>
  </si>
  <si>
    <t xml:space="preserve">منوبة</t>
  </si>
  <si>
    <t xml:space="preserve">مركز الغابات برج العامري</t>
  </si>
  <si>
    <t xml:space="preserve">تقريبية: مركز قرية (البلدة لا النقطة)</t>
  </si>
  <si>
    <t xml:space="preserve">ش. إطفاء</t>
  </si>
  <si>
    <t xml:space="preserve">2026-06-10</t>
  </si>
  <si>
    <t xml:space="preserve">المقدم ياسين بقايد</t>
  </si>
  <si>
    <t xml:space="preserve">21983093</t>
  </si>
  <si>
    <t xml:space="preserve">SEAS-2026-02</t>
  </si>
  <si>
    <t xml:space="preserve">قبلاط</t>
  </si>
  <si>
    <t xml:space="preserve">المقدم طاهر الطرابلسي</t>
  </si>
  <si>
    <t xml:space="preserve">95357085</t>
  </si>
  <si>
    <t xml:space="preserve">SEAS-2026-03</t>
  </si>
  <si>
    <t xml:space="preserve">تيبار</t>
  </si>
  <si>
    <t xml:space="preserve">الرائد عز الدين الجبالي</t>
  </si>
  <si>
    <t xml:space="preserve">95176393</t>
  </si>
  <si>
    <t xml:space="preserve">SEAS-2026-04</t>
  </si>
  <si>
    <t xml:space="preserve">بن عروس</t>
  </si>
  <si>
    <t xml:space="preserve">معتمدية مرناق</t>
  </si>
  <si>
    <t xml:space="preserve">تقريبية: مركز بلدة (البلدة لا النقطة)</t>
  </si>
  <si>
    <t xml:space="preserve">2026-06-03</t>
  </si>
  <si>
    <t xml:space="preserve">المقدم برني حمزة</t>
  </si>
  <si>
    <t xml:space="preserve">29803063</t>
  </si>
  <si>
    <t xml:space="preserve">SEAS-2026-05</t>
  </si>
  <si>
    <t xml:space="preserve">سليانة</t>
  </si>
  <si>
    <t xml:space="preserve">منطقة صدقا برقو</t>
  </si>
  <si>
    <t xml:space="preserve">للمراجعة: مطابقة جزئية للاسم</t>
  </si>
  <si>
    <t xml:space="preserve">الرائد شهاب المناعي</t>
  </si>
  <si>
    <t xml:space="preserve">28682597</t>
  </si>
  <si>
    <t xml:space="preserve">SEAS-2026-06</t>
  </si>
  <si>
    <t xml:space="preserve">مركز سجنان</t>
  </si>
  <si>
    <t xml:space="preserve">ش. اطفاء + ش. نقل</t>
  </si>
  <si>
    <t xml:space="preserve">المقدم صالح الذوادي</t>
  </si>
  <si>
    <t xml:space="preserve">97999905</t>
  </si>
  <si>
    <t xml:space="preserve">SEAS-2026-07</t>
  </si>
  <si>
    <t xml:space="preserve">الملعب البلدي بعوسجة</t>
  </si>
  <si>
    <t xml:space="preserve">ش. إطفاء + سيارة اسعاف + سيارة نقل</t>
  </si>
  <si>
    <t xml:space="preserve">النقيب نور الحامدي</t>
  </si>
  <si>
    <t xml:space="preserve">29408942</t>
  </si>
  <si>
    <t xml:space="preserve">SEAS-2026-08</t>
  </si>
  <si>
    <t xml:space="preserve">المدرسة الابتدائية جومين</t>
  </si>
  <si>
    <t xml:space="preserve">شاحنة إطفاء + سيارة نقل</t>
  </si>
  <si>
    <t xml:space="preserve">2026-06-08</t>
  </si>
  <si>
    <t xml:space="preserve">SEAS-2026-09</t>
  </si>
  <si>
    <t xml:space="preserve">إعدادية زهانة بأوتيك</t>
  </si>
  <si>
    <t xml:space="preserve">غير محدد: يحدده المدير على الخريطة</t>
  </si>
  <si>
    <t xml:space="preserve">شاحنة اطفاء</t>
  </si>
  <si>
    <t xml:space="preserve">SEAS-2026-10</t>
  </si>
  <si>
    <t xml:space="preserve">جندوبة</t>
  </si>
  <si>
    <t xml:space="preserve">إعدادية وادي مليز</t>
  </si>
  <si>
    <t xml:space="preserve">2026-06-05</t>
  </si>
  <si>
    <t xml:space="preserve">النقيب حاتم الخزري</t>
  </si>
  <si>
    <t xml:space="preserve">27104885</t>
  </si>
  <si>
    <t xml:space="preserve">SEAS-2026-11</t>
  </si>
  <si>
    <t xml:space="preserve">مدرسة بلطة بوعوان</t>
  </si>
  <si>
    <t xml:space="preserve">سيارة إطفاء</t>
  </si>
  <si>
    <t xml:space="preserve">2026-06-13</t>
  </si>
  <si>
    <t xml:space="preserve">الرائد فيصل النصيبي</t>
  </si>
  <si>
    <t xml:space="preserve">96860266</t>
  </si>
  <si>
    <t xml:space="preserve">SEAS-2026-12</t>
  </si>
  <si>
    <t xml:space="preserve">المرجى بوسالم</t>
  </si>
  <si>
    <t xml:space="preserve">المقدم شمس الدين</t>
  </si>
  <si>
    <t xml:space="preserve">29708461</t>
  </si>
  <si>
    <t xml:space="preserve">SEAS-2026-13</t>
  </si>
  <si>
    <t xml:space="preserve">معهد فرنانة</t>
  </si>
  <si>
    <t xml:space="preserve">المقدم عبد الوهاب</t>
  </si>
  <si>
    <t xml:space="preserve">97321762</t>
  </si>
  <si>
    <t xml:space="preserve">SEAS-2026-14</t>
  </si>
  <si>
    <t xml:space="preserve">الكاف</t>
  </si>
  <si>
    <t xml:space="preserve">معتمدية السرس</t>
  </si>
  <si>
    <t xml:space="preserve">المقدم عمار العبيدي</t>
  </si>
  <si>
    <t xml:space="preserve">24179640</t>
  </si>
  <si>
    <t xml:space="preserve">SEAS-2026-15</t>
  </si>
  <si>
    <t xml:space="preserve">معهد ساقية سيدي يوسف</t>
  </si>
  <si>
    <t xml:space="preserve">وكيل أول رمزي مكي</t>
  </si>
  <si>
    <t xml:space="preserve">53296067</t>
  </si>
  <si>
    <t xml:space="preserve">SEAS-2026-16</t>
  </si>
  <si>
    <t xml:space="preserve">زغوان</t>
  </si>
  <si>
    <t xml:space="preserve">بلدية بئر مشارقة</t>
  </si>
  <si>
    <t xml:space="preserve">شاحنة إطفاء</t>
  </si>
  <si>
    <t xml:space="preserve">2026-06-02</t>
  </si>
  <si>
    <t xml:space="preserve">المقدم حسين بن نجمة</t>
  </si>
  <si>
    <t xml:space="preserve">29419352</t>
  </si>
  <si>
    <t xml:space="preserve">SEAS-2026-17</t>
  </si>
  <si>
    <t xml:space="preserve">ديوان الحبوب الناظور</t>
  </si>
  <si>
    <t xml:space="preserve">24/48</t>
  </si>
  <si>
    <t xml:space="preserve">2026-06-07</t>
  </si>
  <si>
    <t xml:space="preserve">الرائد مراد سلامة</t>
  </si>
  <si>
    <t xml:space="preserve">98586901</t>
  </si>
  <si>
    <t xml:space="preserve">SEAS-2026-18</t>
  </si>
  <si>
    <t xml:space="preserve">القصرين</t>
  </si>
  <si>
    <t xml:space="preserve">مقر معتمدية فوسانة</t>
  </si>
  <si>
    <t xml:space="preserve">الملازم أول أيمن حسني</t>
  </si>
  <si>
    <t xml:space="preserve">96037032</t>
  </si>
  <si>
    <t xml:space="preserve">BEACH-2026-001</t>
  </si>
  <si>
    <t xml:space="preserve">جبهة البحر المارينا</t>
  </si>
  <si>
    <t xml:space="preserve">زورق نجدة</t>
  </si>
  <si>
    <t xml:space="preserve">من الساعة 09 صباحا الى الساعة 18 مساءا</t>
  </si>
  <si>
    <t xml:space="preserve">الأعداد من جدول المتابعة ليوم 04-07-2026</t>
  </si>
  <si>
    <t xml:space="preserve">BEACH-2026-002</t>
  </si>
  <si>
    <t xml:space="preserve">الجزيرة</t>
  </si>
  <si>
    <t xml:space="preserve">BEACH-2026-003</t>
  </si>
  <si>
    <t xml:space="preserve">المهاري</t>
  </si>
  <si>
    <t xml:space="preserve">صندوق إسعاف</t>
  </si>
  <si>
    <t xml:space="preserve">BEACH-2026-004</t>
  </si>
  <si>
    <t xml:space="preserve">بركوكش</t>
  </si>
  <si>
    <t xml:space="preserve">BEACH-2026-005</t>
  </si>
  <si>
    <t xml:space="preserve">شاطئ المحطة</t>
  </si>
  <si>
    <t xml:space="preserve">BEACH-2026-006</t>
  </si>
  <si>
    <t xml:space="preserve">شاطئ ملولة</t>
  </si>
  <si>
    <t xml:space="preserve">BEACH-2026-007</t>
  </si>
  <si>
    <t xml:space="preserve">شاطئ البرادايز</t>
  </si>
  <si>
    <t xml:space="preserve">BEACH-2026-008</t>
  </si>
  <si>
    <t xml:space="preserve">شاطئ الزوارع</t>
  </si>
  <si>
    <t xml:space="preserve">- نقطة قبالة خزان الماء - نقطة على اليمين (1) في اتجاه حلق الوادي - نقطة على اليمين (2) في اتجاه حلق الوادي - نقطة على اليسار في اتجاه طبرقة - نقطة قبل مأوى الجيش الوطني(من الزوارع في اتجاه طبرقة)</t>
  </si>
  <si>
    <t xml:space="preserve">مرتفعة: شاطئ مسمّى في OSM</t>
  </si>
  <si>
    <t xml:space="preserve">من الساعة 10 صباحا الى الساعة 18 مساءا</t>
  </si>
  <si>
    <t xml:space="preserve">BEACH-2026-009</t>
  </si>
  <si>
    <t xml:space="preserve">شاطئ المقاصب</t>
  </si>
  <si>
    <t xml:space="preserve">نقطة على الشاطئ الرملي - نقطة على الشاطئ الصخري</t>
  </si>
  <si>
    <t xml:space="preserve">BEACH-2026-010</t>
  </si>
  <si>
    <t xml:space="preserve">شاطئ كاب نيقرو</t>
  </si>
  <si>
    <t xml:space="preserve">- نقطة كاب نيقرو</t>
  </si>
  <si>
    <t xml:space="preserve">BEACH-2026-011</t>
  </si>
  <si>
    <t xml:space="preserve">بنزرت الشمالية</t>
  </si>
  <si>
    <t xml:space="preserve">سيدي سالم1-2-3-4</t>
  </si>
  <si>
    <t xml:space="preserve">متوسطة: النقطة الفرعية (حي)</t>
  </si>
  <si>
    <t xml:space="preserve">BEACH-2026-012</t>
  </si>
  <si>
    <t xml:space="preserve">الرفراف</t>
  </si>
  <si>
    <t xml:space="preserve">شاطئ رفراف+ ظهر عياد + الحماري</t>
  </si>
  <si>
    <t xml:space="preserve">BEACH-2026-013</t>
  </si>
  <si>
    <t xml:space="preserve">منزل جميل</t>
  </si>
  <si>
    <t xml:space="preserve">الرمال1-2شاطئ البواخر</t>
  </si>
  <si>
    <t xml:space="preserve">BEACH-2026-014</t>
  </si>
  <si>
    <t xml:space="preserve">شاطئ الصخور</t>
  </si>
  <si>
    <t xml:space="preserve">شاطئ الصخور 1+2+3</t>
  </si>
  <si>
    <t xml:space="preserve">**</t>
  </si>
  <si>
    <t xml:space="preserve">BEACH-2026-015</t>
  </si>
  <si>
    <t xml:space="preserve">جرزونة</t>
  </si>
  <si>
    <t xml:space="preserve">الكازمة +جرزونة1+2+3المضيف</t>
  </si>
  <si>
    <t xml:space="preserve">متوسطة: النقطة الفرعية (قرية)</t>
  </si>
  <si>
    <t xml:space="preserve">BEACH-2026-016</t>
  </si>
  <si>
    <t xml:space="preserve">راس الجبل</t>
  </si>
  <si>
    <t xml:space="preserve">عين حديدة 1+2+ مامي 1+2 + المضيف</t>
  </si>
  <si>
    <t xml:space="preserve">BEACH-2026-017</t>
  </si>
  <si>
    <t xml:space="preserve">غار الملح</t>
  </si>
  <si>
    <t xml:space="preserve">كوكو 1+2+3</t>
  </si>
  <si>
    <t xml:space="preserve">BEACH-2026-018</t>
  </si>
  <si>
    <t xml:space="preserve">سيدي المكي1+2 ميناء +بوغاز+</t>
  </si>
  <si>
    <t xml:space="preserve">BEACH-2026-019</t>
  </si>
  <si>
    <t xml:space="preserve">سجنان</t>
  </si>
  <si>
    <t xml:space="preserve">شاطئ سيدي المشرق 1+2 شاطئ قروز1+2 كاب سيراط+سيدي غريب 12+لوكا+كاف عباد</t>
  </si>
  <si>
    <t xml:space="preserve">متوسطة: النقطة الفرعية (تجمّع)</t>
  </si>
  <si>
    <t xml:space="preserve">BEACH-2026-020</t>
  </si>
  <si>
    <t xml:space="preserve">بنزرت الجنوبية</t>
  </si>
  <si>
    <t xml:space="preserve">شاطئ راس انجلة1+2+3</t>
  </si>
  <si>
    <t xml:space="preserve">متوسطة: النقطة الفرعية (مدينة)</t>
  </si>
  <si>
    <t xml:space="preserve">BEACH-2026-021</t>
  </si>
  <si>
    <t xml:space="preserve">أريانة</t>
  </si>
  <si>
    <t xml:space="preserve">رواد</t>
  </si>
  <si>
    <t xml:space="preserve">زغاب +المخيم +الرمال الذهبية+ المركز الرئيسي + النسيم+ الخيال</t>
  </si>
  <si>
    <t xml:space="preserve">BEACH-2026-022</t>
  </si>
  <si>
    <t xml:space="preserve">قلعة أندلس</t>
  </si>
  <si>
    <t xml:space="preserve">حسيان + المفتوح 01 + المركز الرئيسي+ الرمال الذهبية السحيلة 01و02 راس الرمل + مدخل الميناء</t>
  </si>
  <si>
    <t xml:space="preserve">BEACH-2026-023</t>
  </si>
  <si>
    <t xml:space="preserve">سوسة</t>
  </si>
  <si>
    <t xml:space="preserve">حمام سوسة</t>
  </si>
  <si>
    <t xml:space="preserve">المنشية + مونتي كارلو+QG+كازما+الشركة</t>
  </si>
  <si>
    <t xml:space="preserve">BEACH-2026-024</t>
  </si>
  <si>
    <t xml:space="preserve">أكودة</t>
  </si>
  <si>
    <t xml:space="preserve">صوفيفا + القرن إقامة الغزال</t>
  </si>
  <si>
    <t xml:space="preserve">BEACH-2026-025</t>
  </si>
  <si>
    <t xml:space="preserve">ديار مريم + بيببيس</t>
  </si>
  <si>
    <t xml:space="preserve">BEACH-2026-026</t>
  </si>
  <si>
    <t xml:space="preserve">شاطئ مريم</t>
  </si>
  <si>
    <t xml:space="preserve">المدرسة الابتدائية + شارع المستوصف</t>
  </si>
  <si>
    <t xml:space="preserve">BEACH-2026-027</t>
  </si>
  <si>
    <t xml:space="preserve">شاطئ العذاري + إقامة الصيادي</t>
  </si>
  <si>
    <t xml:space="preserve">BEACH-2026-028</t>
  </si>
  <si>
    <t xml:space="preserve">شاطئ العذاري + المرداسي</t>
  </si>
  <si>
    <t xml:space="preserve">BEACH-2026-029</t>
  </si>
  <si>
    <t xml:space="preserve">سيدي بو علي</t>
  </si>
  <si>
    <t xml:space="preserve">حلق المنجل</t>
  </si>
  <si>
    <t xml:space="preserve">BEACH-2026-030</t>
  </si>
  <si>
    <t xml:space="preserve">سوسة المدينة</t>
  </si>
  <si>
    <t xml:space="preserve">الكروان + نور جيستينيا +نزل النورس</t>
  </si>
  <si>
    <t xml:space="preserve">BEACH-2026-031</t>
  </si>
  <si>
    <t xml:space="preserve">سوسة بلاس + سوسة بلاص</t>
  </si>
  <si>
    <t xml:space="preserve">زورق نجدة+ دراجة مائية</t>
  </si>
  <si>
    <t xml:space="preserve">BEACH-2026-032</t>
  </si>
  <si>
    <t xml:space="preserve">سوسة بلاس + الكازينو</t>
  </si>
  <si>
    <t xml:space="preserve">BEACH-2026-033</t>
  </si>
  <si>
    <t xml:space="preserve">الهناء + الهناء</t>
  </si>
  <si>
    <t xml:space="preserve">BEACH-2026-034</t>
  </si>
  <si>
    <t xml:space="preserve">الهناء + رياض النخيل</t>
  </si>
  <si>
    <t xml:space="preserve">BEACH-2026-035</t>
  </si>
  <si>
    <t xml:space="preserve">لاص فيقاس + البورا بورا</t>
  </si>
  <si>
    <t xml:space="preserve">BEACH-2026-036</t>
  </si>
  <si>
    <t xml:space="preserve">النفيضة</t>
  </si>
  <si>
    <t xml:space="preserve">شاطئ النفيضة</t>
  </si>
  <si>
    <t xml:space="preserve">متوسطة: النقطة الفرعية (بلدة)</t>
  </si>
  <si>
    <t xml:space="preserve">BEACH-2026-037</t>
  </si>
  <si>
    <t xml:space="preserve">بوفيشة</t>
  </si>
  <si>
    <t xml:space="preserve">الجرجيسية واد سعد+قصر المنارة + المثاليث +عين الرحمة</t>
  </si>
  <si>
    <t xml:space="preserve">BEACH-2026-038</t>
  </si>
  <si>
    <t xml:space="preserve">هرقلة</t>
  </si>
  <si>
    <t xml:space="preserve">العين</t>
  </si>
  <si>
    <t xml:space="preserve">BEACH-2026-039</t>
  </si>
  <si>
    <t xml:space="preserve">طابسيس</t>
  </si>
  <si>
    <t xml:space="preserve">شاطئ طابسيس</t>
  </si>
  <si>
    <t xml:space="preserve">دراجة رباعية الدفع</t>
  </si>
  <si>
    <t xml:space="preserve">من الساعة 10 صباحا إلى الساعة 18:00 مساءا</t>
  </si>
  <si>
    <t xml:space="preserve">BEACH-2026-040</t>
  </si>
  <si>
    <t xml:space="preserve">كرنيش مهدية</t>
  </si>
  <si>
    <t xml:space="preserve">الصخرة +الرمال الذهبية +العصفور</t>
  </si>
  <si>
    <t xml:space="preserve">BEACH-2026-041</t>
  </si>
  <si>
    <t xml:space="preserve">النائرات</t>
  </si>
  <si>
    <t xml:space="preserve">دار الشط + ديناستي +المهدية بيتش +المرادي +مهدية بلاص ماجيك لايف</t>
  </si>
  <si>
    <t xml:space="preserve">BEACH-2026-042</t>
  </si>
  <si>
    <t xml:space="preserve">كرنيش رجيش</t>
  </si>
  <si>
    <t xml:space="preserve">المبيتات +بيت الفلائك</t>
  </si>
  <si>
    <t xml:space="preserve">BEACH-2026-043</t>
  </si>
  <si>
    <t xml:space="preserve">ديار الصفاقسية</t>
  </si>
  <si>
    <t xml:space="preserve">الملاجئ +الحاجب</t>
  </si>
  <si>
    <t xml:space="preserve">BEACH-2026-044</t>
  </si>
  <si>
    <t xml:space="preserve">الجول</t>
  </si>
  <si>
    <t xml:space="preserve">BEACH-2026-045</t>
  </si>
  <si>
    <t xml:space="preserve">بنجيمة</t>
  </si>
  <si>
    <t xml:space="preserve">BEACH-2026-046</t>
  </si>
  <si>
    <t xml:space="preserve">بوشوشة المناقع</t>
  </si>
  <si>
    <t xml:space="preserve">الحاجب +المناقع +بنفرحات</t>
  </si>
  <si>
    <t xml:space="preserve">BEACH-2026-047</t>
  </si>
  <si>
    <t xml:space="preserve">العالية</t>
  </si>
  <si>
    <t xml:space="preserve">BEACH-2026-048</t>
  </si>
  <si>
    <t xml:space="preserve">السير</t>
  </si>
  <si>
    <t xml:space="preserve">البرج</t>
  </si>
  <si>
    <t xml:space="preserve">BEACH-2026-049</t>
  </si>
  <si>
    <t xml:space="preserve">سيدي عبد الله</t>
  </si>
  <si>
    <t xml:space="preserve">واد الفران +ترشة الشيخ +بياضة السلايمية + البلانجوار +بياضة شيحة</t>
  </si>
  <si>
    <t xml:space="preserve">BEACH-2026-050</t>
  </si>
  <si>
    <t xml:space="preserve">الغضابنة</t>
  </si>
  <si>
    <t xml:space="preserve">العلاونية +الصخرتين</t>
  </si>
  <si>
    <t xml:space="preserve">BEACH-2026-051</t>
  </si>
  <si>
    <t xml:space="preserve">الخمارة</t>
  </si>
  <si>
    <t xml:space="preserve">القوز +الحاج حسين</t>
  </si>
  <si>
    <t xml:space="preserve">BEACH-2026-052</t>
  </si>
  <si>
    <t xml:space="preserve">القراعية</t>
  </si>
  <si>
    <t xml:space="preserve">شاطئ الإسبلاناد شاطئ سيدي منصور شاطئ النخلة +شاطئ مارينا</t>
  </si>
  <si>
    <t xml:space="preserve">زورق نجدة + دراجة مائية</t>
  </si>
  <si>
    <t xml:space="preserve">BEACH-2026-053</t>
  </si>
  <si>
    <t xml:space="preserve">النخيل</t>
  </si>
  <si>
    <t xml:space="preserve">شاطئ النخيل 1+شاطئ المقهى +شاطئ العروسة</t>
  </si>
  <si>
    <t xml:space="preserve">BEACH-2026-054</t>
  </si>
  <si>
    <t xml:space="preserve">شاطئ السواني</t>
  </si>
  <si>
    <t xml:space="preserve">شاطئ الحجر+ شاطئ الفلاز</t>
  </si>
  <si>
    <t xml:space="preserve">BEACH-2026-055</t>
  </si>
  <si>
    <t xml:space="preserve">شاطئ الدخيلة</t>
  </si>
  <si>
    <t xml:space="preserve">شاطئ السرايا +شاطئ نبتونيا</t>
  </si>
  <si>
    <t xml:space="preserve">BEACH-2026-056</t>
  </si>
  <si>
    <t xml:space="preserve">شاطئ البغدادي</t>
  </si>
  <si>
    <t xml:space="preserve">شاطئ قاعدة عاشور شاطئ مطير +شاطئ قاعدة جعفر</t>
  </si>
  <si>
    <t xml:space="preserve">BEACH-2026-057</t>
  </si>
  <si>
    <t xml:space="preserve">الديماس</t>
  </si>
  <si>
    <t xml:space="preserve">Pavillon bleu شاطئ المهني +شاطئ السقالة</t>
  </si>
  <si>
    <t xml:space="preserve">BEACH-2026-058</t>
  </si>
  <si>
    <t xml:space="preserve">الشرف</t>
  </si>
  <si>
    <t xml:space="preserve">شاطئ الملاحة +شاطئ البساري</t>
  </si>
  <si>
    <t xml:space="preserve">BEACH-2026-059</t>
  </si>
  <si>
    <t xml:space="preserve">تونس</t>
  </si>
  <si>
    <t xml:space="preserve">حلق الوادي</t>
  </si>
  <si>
    <t xml:space="preserve">حلق الوادي 01 و02 +حلق الوادي الجديد +الكازينو +مرسى الجوية+ خير الدين+</t>
  </si>
  <si>
    <t xml:space="preserve">زورق نجدة +دراجة رباعية الدفع</t>
  </si>
  <si>
    <t xml:space="preserve">BEACH-2026-060</t>
  </si>
  <si>
    <t xml:space="preserve">الكرم</t>
  </si>
  <si>
    <t xml:space="preserve">الكرم1+ الكرم2</t>
  </si>
  <si>
    <t xml:space="preserve">02 صندوق إسعاف</t>
  </si>
  <si>
    <t xml:space="preserve">BEACH-2026-061</t>
  </si>
  <si>
    <t xml:space="preserve">قرطاج</t>
  </si>
  <si>
    <t xml:space="preserve">أميلكار1+أميلكار2 + حنبعل</t>
  </si>
  <si>
    <t xml:space="preserve">BEACH-2026-062</t>
  </si>
  <si>
    <t xml:space="preserve">سيدي بوسعيد</t>
  </si>
  <si>
    <t xml:space="preserve">BEACH-2026-063</t>
  </si>
  <si>
    <t xml:space="preserve">المرسى</t>
  </si>
  <si>
    <t xml:space="preserve">الكورنيش + قبة الهواء المرسى + دار الشباب+ المرسى كوب +سيدي عبد العزيز +الموجة + تورنيق +دار نوار</t>
  </si>
  <si>
    <t xml:space="preserve">BEACH-2026-064</t>
  </si>
  <si>
    <t xml:space="preserve">رادس</t>
  </si>
  <si>
    <t xml:space="preserve">النخيل1+النخيل2+مروان+الخزنة+STEG</t>
  </si>
  <si>
    <t xml:space="preserve">زورق نجدة بفرقة راد س</t>
  </si>
  <si>
    <t xml:space="preserve">BEACH-2026-065</t>
  </si>
  <si>
    <t xml:space="preserve">الزهراء</t>
  </si>
  <si>
    <t xml:space="preserve">الشمينو+نزل الزهراء+لا قيتي+لاسياستا+الكازما</t>
  </si>
  <si>
    <t xml:space="preserve">BEACH-2026-066</t>
  </si>
  <si>
    <t xml:space="preserve">حمام الشط</t>
  </si>
  <si>
    <t xml:space="preserve">نزل الكراييب+ نزل الروزور +م الكشف الدولي +الطاحونة الزرقاء+ الطاهر صفر+الم الأعلى للشباب + الحي الجديد</t>
  </si>
  <si>
    <t xml:space="preserve">BEACH-2026-067</t>
  </si>
  <si>
    <t xml:space="preserve">حمام الأنف</t>
  </si>
  <si>
    <t xml:space="preserve">العيايشة +الشعبية+الكازينو+عروس البحر+بوقرنين</t>
  </si>
  <si>
    <t xml:space="preserve">BEACH-2026-068</t>
  </si>
  <si>
    <t xml:space="preserve">بن قردان</t>
  </si>
  <si>
    <t xml:space="preserve">مرسى القصيبة</t>
  </si>
  <si>
    <t xml:space="preserve">BEACH-2026-069</t>
  </si>
  <si>
    <t xml:space="preserve">الصلب</t>
  </si>
  <si>
    <t xml:space="preserve">BEACH-2026-070</t>
  </si>
  <si>
    <t xml:space="preserve">جرجيس</t>
  </si>
  <si>
    <t xml:space="preserve">الكازينو</t>
  </si>
  <si>
    <t xml:space="preserve">BEACH-2026-071</t>
  </si>
  <si>
    <t xml:space="preserve">سنية</t>
  </si>
  <si>
    <t xml:space="preserve">BEACH-2026-072</t>
  </si>
  <si>
    <t xml:space="preserve">أميرة</t>
  </si>
  <si>
    <t xml:space="preserve">BEACH-2026-073</t>
  </si>
  <si>
    <t xml:space="preserve">بوغرارة</t>
  </si>
  <si>
    <t xml:space="preserve">بوغرارة 1</t>
  </si>
  <si>
    <t xml:space="preserve">BEACH-2026-074</t>
  </si>
  <si>
    <t xml:space="preserve">بوغرارة 2</t>
  </si>
  <si>
    <t xml:space="preserve">BEACH-2026-075</t>
  </si>
  <si>
    <t xml:space="preserve">جرجيس الشمالية</t>
  </si>
  <si>
    <t xml:space="preserve">أوماريت</t>
  </si>
  <si>
    <t xml:space="preserve">BEACH-2026-076</t>
  </si>
  <si>
    <t xml:space="preserve">حسي الجربي</t>
  </si>
  <si>
    <t xml:space="preserve">BEACH-2026-077</t>
  </si>
  <si>
    <t xml:space="preserve">حومة السوق جربة</t>
  </si>
  <si>
    <t xml:space="preserve">الحشاني</t>
  </si>
  <si>
    <t xml:space="preserve">BEACH-2026-078</t>
  </si>
  <si>
    <t xml:space="preserve">سيدي محرز</t>
  </si>
  <si>
    <t xml:space="preserve">BEACH-2026-079</t>
  </si>
  <si>
    <t xml:space="preserve">ميدون جربة</t>
  </si>
  <si>
    <t xml:space="preserve">يأتي1</t>
  </si>
  <si>
    <t xml:space="preserve">BEACH-2026-080</t>
  </si>
  <si>
    <t xml:space="preserve">يأـي2</t>
  </si>
  <si>
    <t xml:space="preserve">BEACH-2026-081</t>
  </si>
  <si>
    <t xml:space="preserve">أغير</t>
  </si>
  <si>
    <t xml:space="preserve">BEACH-2026-082</t>
  </si>
  <si>
    <t xml:space="preserve">المحرصي</t>
  </si>
  <si>
    <t xml:space="preserve">تقريبية: مركز مدينة (البلدة لا النقطة)</t>
  </si>
  <si>
    <t xml:space="preserve">BEACH-2026-083</t>
  </si>
  <si>
    <t xml:space="preserve">نابل الياسمين</t>
  </si>
  <si>
    <t xml:space="preserve">BEACH-2026-084</t>
  </si>
  <si>
    <t xml:space="preserve">سيدي سليمان</t>
  </si>
  <si>
    <t xml:space="preserve">BEACH-2026-085</t>
  </si>
  <si>
    <t xml:space="preserve">الرصيف البحري</t>
  </si>
  <si>
    <t xml:space="preserve">BEACH-2026-086</t>
  </si>
  <si>
    <t xml:space="preserve">إقامة جنات</t>
  </si>
  <si>
    <t xml:space="preserve">BEACH-2026-087</t>
  </si>
  <si>
    <t xml:space="preserve">المرازقة</t>
  </si>
  <si>
    <t xml:space="preserve">BEACH-2026-088</t>
  </si>
  <si>
    <t xml:space="preserve">الوادين</t>
  </si>
  <si>
    <t xml:space="preserve">BEACH-2026-089</t>
  </si>
  <si>
    <t xml:space="preserve">الميموزا</t>
  </si>
  <si>
    <t xml:space="preserve">BEACH-2026-090</t>
  </si>
  <si>
    <t xml:space="preserve">شاطئ نابل</t>
  </si>
  <si>
    <t xml:space="preserve">BEACH-2026-091</t>
  </si>
  <si>
    <t xml:space="preserve">الروتوندا</t>
  </si>
  <si>
    <t xml:space="preserve">BEACH-2026-092</t>
  </si>
  <si>
    <t xml:space="preserve">تاكلسة</t>
  </si>
  <si>
    <t xml:space="preserve">المنقع تاكلسة</t>
  </si>
  <si>
    <t xml:space="preserve">BEACH-2026-093</t>
  </si>
  <si>
    <t xml:space="preserve">مرسى الأمراء</t>
  </si>
  <si>
    <t xml:space="preserve">BEACH-2026-094</t>
  </si>
  <si>
    <t xml:space="preserve">الرتيبة</t>
  </si>
  <si>
    <t xml:space="preserve">BEACH-2026-095</t>
  </si>
  <si>
    <t xml:space="preserve">الحمامات</t>
  </si>
  <si>
    <t xml:space="preserve">المنظر الجميل</t>
  </si>
  <si>
    <t xml:space="preserve">BEACH-2026-096</t>
  </si>
  <si>
    <t xml:space="preserve">الكرنيش</t>
  </si>
  <si>
    <t xml:space="preserve">BEACH-2026-097</t>
  </si>
  <si>
    <t xml:space="preserve">الياسمينة</t>
  </si>
  <si>
    <t xml:space="preserve">BEACH-2026-098</t>
  </si>
  <si>
    <t xml:space="preserve">عروس البحر</t>
  </si>
  <si>
    <t xml:space="preserve">BEACH-2026-099</t>
  </si>
  <si>
    <t xml:space="preserve">عنق الجمل</t>
  </si>
  <si>
    <t xml:space="preserve">BEACH-2026-100</t>
  </si>
  <si>
    <t xml:space="preserve">قليبية</t>
  </si>
  <si>
    <t xml:space="preserve">باريس الصغيرة</t>
  </si>
  <si>
    <t xml:space="preserve">BEACH-2026-101</t>
  </si>
  <si>
    <t xml:space="preserve">البالج</t>
  </si>
  <si>
    <t xml:space="preserve">BEACH-2026-102</t>
  </si>
  <si>
    <t xml:space="preserve">الفتحة</t>
  </si>
  <si>
    <t xml:space="preserve">BEACH-2026-103</t>
  </si>
  <si>
    <t xml:space="preserve">المنصورة</t>
  </si>
  <si>
    <t xml:space="preserve">BEACH-2026-104</t>
  </si>
  <si>
    <t xml:space="preserve">سيدي منصور</t>
  </si>
  <si>
    <t xml:space="preserve">BEACH-2026-105</t>
  </si>
  <si>
    <t xml:space="preserve">المأمونية</t>
  </si>
  <si>
    <t xml:space="preserve">BEACH-2026-106</t>
  </si>
  <si>
    <t xml:space="preserve">BEACH-2026-107</t>
  </si>
  <si>
    <t xml:space="preserve">سليمان</t>
  </si>
  <si>
    <t xml:space="preserve">سليمان الشاطئ</t>
  </si>
  <si>
    <t xml:space="preserve">BEACH-2026-108</t>
  </si>
  <si>
    <t xml:space="preserve">شاطئ اليمين</t>
  </si>
  <si>
    <t xml:space="preserve">BEACH-2026-109</t>
  </si>
  <si>
    <t xml:space="preserve">شاطئ برارك</t>
  </si>
  <si>
    <t xml:space="preserve">BEACH-2026-110</t>
  </si>
  <si>
    <t xml:space="preserve">سليمان الجهمي</t>
  </si>
  <si>
    <t xml:space="preserve">BEACH-2026-111</t>
  </si>
  <si>
    <t xml:space="preserve">سليمان المديسي</t>
  </si>
  <si>
    <t xml:space="preserve">BEACH-2026-112</t>
  </si>
  <si>
    <t xml:space="preserve">دار علوش</t>
  </si>
  <si>
    <t xml:space="preserve">BEACH-2026-113</t>
  </si>
  <si>
    <t xml:space="preserve">عين دار قدوش</t>
  </si>
  <si>
    <t xml:space="preserve">BEACH-2026-114</t>
  </si>
  <si>
    <t xml:space="preserve">البراكة</t>
  </si>
  <si>
    <t xml:space="preserve">BEACH-2026-115</t>
  </si>
  <si>
    <t xml:space="preserve">ملاعب الكركوان</t>
  </si>
  <si>
    <t xml:space="preserve">BEACH-2026-116</t>
  </si>
  <si>
    <t xml:space="preserve">الهوارية</t>
  </si>
  <si>
    <t xml:space="preserve">BEACH-2026-117</t>
  </si>
  <si>
    <t xml:space="preserve">شاطئ القبلي</t>
  </si>
  <si>
    <t xml:space="preserve">BEACH-2026-118</t>
  </si>
  <si>
    <t xml:space="preserve">العرقوب</t>
  </si>
  <si>
    <t xml:space="preserve">BEACH-2026-119</t>
  </si>
  <si>
    <t xml:space="preserve">منزل سالم</t>
  </si>
  <si>
    <t xml:space="preserve">BEACH-2026-120</t>
  </si>
  <si>
    <t xml:space="preserve">زاوية مقاز</t>
  </si>
  <si>
    <t xml:space="preserve">بئر الجدي</t>
  </si>
  <si>
    <t xml:space="preserve">BEACH-2026-121</t>
  </si>
  <si>
    <t xml:space="preserve">زاوية المقايز</t>
  </si>
  <si>
    <t xml:space="preserve">BEACH-2026-122</t>
  </si>
  <si>
    <t xml:space="preserve">دار شعبان الفهري</t>
  </si>
  <si>
    <t xml:space="preserve">BEACH-2026-123</t>
  </si>
  <si>
    <t xml:space="preserve">حمام الغزاز</t>
  </si>
  <si>
    <t xml:space="preserve">BEACH-2026-124</t>
  </si>
  <si>
    <t xml:space="preserve">واد سليم</t>
  </si>
  <si>
    <t xml:space="preserve">BEACH-2026-125</t>
  </si>
  <si>
    <t xml:space="preserve">BEACH-2026-126</t>
  </si>
  <si>
    <t xml:space="preserve">دار الشباب</t>
  </si>
  <si>
    <t xml:space="preserve">BEACH-2026-127</t>
  </si>
  <si>
    <t xml:space="preserve">BEACH-2026-128</t>
  </si>
  <si>
    <t xml:space="preserve">قربص</t>
  </si>
  <si>
    <t xml:space="preserve">عين الفكرون</t>
  </si>
  <si>
    <t xml:space="preserve">BEACH-2026-129</t>
  </si>
  <si>
    <t xml:space="preserve">عين العتروس</t>
  </si>
  <si>
    <t xml:space="preserve">BEACH-2026-130</t>
  </si>
  <si>
    <t xml:space="preserve">سيدي الرايس</t>
  </si>
  <si>
    <t xml:space="preserve">BEACH-2026-131</t>
  </si>
  <si>
    <t xml:space="preserve">بني خيار</t>
  </si>
  <si>
    <t xml:space="preserve">BEACH-2026-132</t>
  </si>
  <si>
    <t xml:space="preserve">جنان بني خيار</t>
  </si>
  <si>
    <t xml:space="preserve">BEACH-2026-133</t>
  </si>
  <si>
    <t xml:space="preserve">بومنير</t>
  </si>
  <si>
    <t xml:space="preserve">BEACH-2026-134</t>
  </si>
  <si>
    <t xml:space="preserve">المعمورة</t>
  </si>
  <si>
    <t xml:space="preserve">البنقالوات</t>
  </si>
  <si>
    <t xml:space="preserve">BEACH-2026-135</t>
  </si>
  <si>
    <t xml:space="preserve">المقهى</t>
  </si>
  <si>
    <t xml:space="preserve">BEACH-2026-136</t>
  </si>
  <si>
    <t xml:space="preserve">المدرسة</t>
  </si>
  <si>
    <t xml:space="preserve">BEACH-2026-137</t>
  </si>
  <si>
    <t xml:space="preserve">دار أوفة</t>
  </si>
  <si>
    <t xml:space="preserve">BEACH-2026-138</t>
  </si>
  <si>
    <t xml:space="preserve">تازركة</t>
  </si>
  <si>
    <t xml:space="preserve">عبيدس</t>
  </si>
  <si>
    <t xml:space="preserve">BEACH-2026-139</t>
  </si>
  <si>
    <t xml:space="preserve">دار الصفراء</t>
  </si>
  <si>
    <t xml:space="preserve">BEACH-2026-140</t>
  </si>
  <si>
    <t xml:space="preserve">البئر</t>
  </si>
  <si>
    <t xml:space="preserve">BEACH-2026-141</t>
  </si>
  <si>
    <t xml:space="preserve">مقهى تازركة</t>
  </si>
  <si>
    <t xml:space="preserve">BEACH-2026-142</t>
  </si>
  <si>
    <t xml:space="preserve">البانقلوات</t>
  </si>
  <si>
    <t xml:space="preserve">BEACH-2026-143</t>
  </si>
  <si>
    <t xml:space="preserve">المزرعة</t>
  </si>
  <si>
    <t xml:space="preserve">BEACH-2026-144</t>
  </si>
  <si>
    <t xml:space="preserve">قربة</t>
  </si>
  <si>
    <t xml:space="preserve">سيدي معاوية</t>
  </si>
  <si>
    <t xml:space="preserve">BEACH-2026-145</t>
  </si>
  <si>
    <t xml:space="preserve">شارع البيئة</t>
  </si>
  <si>
    <t xml:space="preserve">BEACH-2026-146</t>
  </si>
  <si>
    <t xml:space="preserve">الدار الزرقاء</t>
  </si>
  <si>
    <t xml:space="preserve">BEACH-2026-147</t>
  </si>
  <si>
    <t xml:space="preserve">الكريبيس</t>
  </si>
  <si>
    <t xml:space="preserve">BEACH-2026-148</t>
  </si>
  <si>
    <t xml:space="preserve">القارب</t>
  </si>
  <si>
    <t xml:space="preserve">BEACH-2026-149</t>
  </si>
  <si>
    <t xml:space="preserve">منزل تميم</t>
  </si>
  <si>
    <t xml:space="preserve">الصفاقسية</t>
  </si>
  <si>
    <t xml:space="preserve">BEACH-2026-150</t>
  </si>
  <si>
    <t xml:space="preserve">BEACH-2026-151</t>
  </si>
  <si>
    <t xml:space="preserve">اللواء الأزرق</t>
  </si>
  <si>
    <t xml:space="preserve">BEACH-2026-152</t>
  </si>
  <si>
    <t xml:space="preserve">الخمسة ديار</t>
  </si>
  <si>
    <t xml:space="preserve">BEACH-2026-153</t>
  </si>
  <si>
    <t xml:space="preserve">الفلة</t>
  </si>
  <si>
    <t xml:space="preserve">BEACH-2026-154</t>
  </si>
  <si>
    <t xml:space="preserve">بلغيث</t>
  </si>
  <si>
    <t xml:space="preserve">BEACH-2026-155</t>
  </si>
  <si>
    <t xml:space="preserve">المقهى 01</t>
  </si>
  <si>
    <t xml:space="preserve">BEACH-2026-156</t>
  </si>
  <si>
    <t xml:space="preserve">المقهى 02</t>
  </si>
  <si>
    <t xml:space="preserve">BEACH-2026-157</t>
  </si>
  <si>
    <t xml:space="preserve">BEACH-2026-158</t>
  </si>
  <si>
    <t xml:space="preserve">الموجة</t>
  </si>
  <si>
    <t xml:space="preserve">BEACH-2026-159</t>
  </si>
  <si>
    <t xml:space="preserve">الزربية</t>
  </si>
  <si>
    <t xml:space="preserve">BEACH-2026-160</t>
  </si>
  <si>
    <t xml:space="preserve">المريقب</t>
  </si>
  <si>
    <t xml:space="preserve">BEACH-2026-161</t>
  </si>
  <si>
    <t xml:space="preserve">منزل حر</t>
  </si>
  <si>
    <t xml:space="preserve">BEACH-2026-162</t>
  </si>
  <si>
    <t xml:space="preserve">الميدة</t>
  </si>
  <si>
    <t xml:space="preserve">لبنة</t>
  </si>
  <si>
    <t xml:space="preserve">BEACH-2026-163</t>
  </si>
  <si>
    <t xml:space="preserve">الزهور</t>
  </si>
  <si>
    <t xml:space="preserve">BEACH-2026-164</t>
  </si>
  <si>
    <t xml:space="preserve">الشفار</t>
  </si>
  <si>
    <t xml:space="preserve">الشفار القديم</t>
  </si>
  <si>
    <t xml:space="preserve">سيارة غوص</t>
  </si>
  <si>
    <t xml:space="preserve">BEACH-2026-165</t>
  </si>
  <si>
    <t xml:space="preserve">الوادي</t>
  </si>
  <si>
    <t xml:space="preserve">زورق نجدة+ دراجة مائية + دراجة رباعية الدفع</t>
  </si>
  <si>
    <t xml:space="preserve">BEACH-2026-166</t>
  </si>
  <si>
    <t xml:space="preserve">الانطلاقة</t>
  </si>
  <si>
    <t xml:space="preserve">BEACH-2026-167</t>
  </si>
  <si>
    <t xml:space="preserve">BEACH-2026-168</t>
  </si>
  <si>
    <t xml:space="preserve">القرية</t>
  </si>
  <si>
    <t xml:space="preserve">BEACH-2026-169</t>
  </si>
  <si>
    <t xml:space="preserve">شعبة الشعير</t>
  </si>
  <si>
    <t xml:space="preserve">BEACH-2026-170</t>
  </si>
  <si>
    <t xml:space="preserve">تبرورة</t>
  </si>
  <si>
    <t xml:space="preserve">BEACH-2026-171</t>
  </si>
  <si>
    <t xml:space="preserve">BEACH-2026-172</t>
  </si>
  <si>
    <t xml:space="preserve">سيدي يوسف</t>
  </si>
  <si>
    <t xml:space="preserve">BEACH-2026-173</t>
  </si>
  <si>
    <t xml:space="preserve">سيدي فرج</t>
  </si>
  <si>
    <t xml:space="preserve">تقريبية: مركز تجمّع (البلدة لا النقطة)</t>
  </si>
  <si>
    <t xml:space="preserve">BEACH-2026-174</t>
  </si>
  <si>
    <t xml:space="preserve">المطوية</t>
  </si>
  <si>
    <t xml:space="preserve">BEACH-2026-175</t>
  </si>
  <si>
    <t xml:space="preserve">وذرف</t>
  </si>
  <si>
    <t xml:space="preserve">BEACH-2026-176</t>
  </si>
  <si>
    <t xml:space="preserve">غنوش</t>
  </si>
  <si>
    <t xml:space="preserve">BEACH-2026-177</t>
  </si>
  <si>
    <t xml:space="preserve">الكورنيش</t>
  </si>
  <si>
    <t xml:space="preserve">BEACH-2026-178</t>
  </si>
  <si>
    <t xml:space="preserve">العربي</t>
  </si>
  <si>
    <t xml:space="preserve">BEACH-2026-179</t>
  </si>
  <si>
    <t xml:space="preserve">مطرش</t>
  </si>
  <si>
    <t xml:space="preserve">BEACH-2026-180</t>
  </si>
  <si>
    <t xml:space="preserve">البنقالو</t>
  </si>
  <si>
    <t xml:space="preserve">BEACH-2026-181</t>
  </si>
  <si>
    <t xml:space="preserve">دار عزيز</t>
  </si>
  <si>
    <t xml:space="preserve">BEACH-2026-182</t>
  </si>
  <si>
    <t xml:space="preserve">الحمروني</t>
  </si>
  <si>
    <t xml:space="preserve">BEACH-2026-183</t>
  </si>
  <si>
    <t xml:space="preserve">كتانة</t>
  </si>
  <si>
    <t xml:space="preserve">BEACH-2026-184</t>
  </si>
  <si>
    <t xml:space="preserve">ليماية</t>
  </si>
  <si>
    <t xml:space="preserve">BEACH-2026-185</t>
  </si>
  <si>
    <t xml:space="preserve">الزارات + العوامر</t>
  </si>
  <si>
    <t xml:space="preserve">الولايات</t>
  </si>
  <si>
    <t xml:space="preserve">أنواع البرامج</t>
  </si>
  <si>
    <t xml:space="preserve">حالة البرنامج</t>
  </si>
  <si>
    <t xml:space="preserve">مسودة</t>
  </si>
  <si>
    <t xml:space="preserve">مبرمجة</t>
  </si>
  <si>
    <t xml:space="preserve">مُحيَّن</t>
  </si>
  <si>
    <t xml:space="preserve">مغلقة</t>
  </si>
  <si>
    <t xml:space="preserve">برنامج آخر</t>
  </si>
  <si>
    <t xml:space="preserve">منتهٍ</t>
  </si>
  <si>
    <t xml:space="preserve">تطاوين</t>
  </si>
  <si>
    <t xml:space="preserve">ملغى</t>
  </si>
  <si>
    <t xml:space="preserve">توزر</t>
  </si>
  <si>
    <t xml:space="preserve">سيدي بوزيد</t>
  </si>
  <si>
    <t xml:space="preserve">قبلي</t>
  </si>
  <si>
    <t xml:space="preserve">قفصة</t>
  </si>
  <si>
    <t xml:space="preserve">القيروان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</si>
</sst>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52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8A1C1C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5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A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600"/>
      <rgbColor rgb="FFFF6600"/>
      <rgbColor rgb="FF666699"/>
      <rgbColor rgb="FF999999"/>
      <rgbColor rgb="FF1B2A52"/>
      <rgbColor rgb="FF2B8A3E"/>
      <rgbColor rgb="FF003300"/>
      <rgbColor rgb="FF333300"/>
      <rgbColor rgb="FF8A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52"/>
    <pageSetUpPr fitToPage="false"/>
  </sheetPr>
  <dimension ref="A1:A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8600"/>
    <pageSetUpPr fitToPage="false"/>
  </sheetPr>
  <dimension ref="A1:P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5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5" style="0" width="16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</row>
    <row r="2" customFormat="false" ht="15" hidden="false" customHeight="false" outlineLevel="0" collapsed="false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n">
        <v>1</v>
      </c>
      <c r="H2" s="4" t="s">
        <v>32</v>
      </c>
      <c r="I2" s="4"/>
      <c r="J2" s="4"/>
      <c r="K2" s="4" t="s">
        <v>33</v>
      </c>
      <c r="L2" s="5" t="n">
        <f aca="false">COUNTIF(النقاط!$A$2:$A$214,A2)</f>
        <v>10</v>
      </c>
      <c r="M2" s="5" t="n">
        <f aca="false">COUNTIFS(النقاط!$A$2:$A$214,A2,النقاط!$F$2:$F$214,"")</f>
        <v>0</v>
      </c>
      <c r="N2" s="5" t="n">
        <f aca="false">SUMIFS(النقاط!$I$2:$I$214,النقاط!$A$2:$A$214,A2)</f>
        <v>0</v>
      </c>
      <c r="O2" s="5" t="n">
        <f aca="false">SUMIFS(النقاط!$L$2:$L$214,النقاط!$A$2:$A$214,A2)</f>
        <v>0</v>
      </c>
      <c r="P2" s="5" t="n">
        <f aca="false">SUMIFS(النقاط!$M$2:$M$214,النقاط!$A$2:$A$214,A2)</f>
        <v>0</v>
      </c>
    </row>
    <row r="3" customFormat="false" ht="15" hidden="false" customHeight="false" outlineLevel="0" collapsed="false">
      <c r="A3" s="4" t="s">
        <v>34</v>
      </c>
      <c r="B3" s="4" t="s">
        <v>35</v>
      </c>
      <c r="C3" s="4" t="s">
        <v>36</v>
      </c>
      <c r="D3" s="4" t="s">
        <v>29</v>
      </c>
      <c r="E3" s="4" t="s">
        <v>37</v>
      </c>
      <c r="F3" s="4" t="s">
        <v>38</v>
      </c>
      <c r="G3" s="4" t="n">
        <v>1</v>
      </c>
      <c r="H3" s="4" t="s">
        <v>32</v>
      </c>
      <c r="I3" s="4"/>
      <c r="J3" s="4"/>
      <c r="K3" s="4" t="s">
        <v>39</v>
      </c>
      <c r="L3" s="5" t="n">
        <f aca="false">COUNTIF(النقاط!$A$2:$A$214,A3)</f>
        <v>18</v>
      </c>
      <c r="M3" s="5" t="n">
        <f aca="false">COUNTIFS(النقاط!$A$2:$A$214,A3,النقاط!$F$2:$F$214,"")</f>
        <v>1</v>
      </c>
      <c r="N3" s="5" t="n">
        <f aca="false">SUMIFS(النقاط!$I$2:$I$214,النقاط!$A$2:$A$214,A3)</f>
        <v>109</v>
      </c>
      <c r="O3" s="5" t="n">
        <f aca="false">SUMIFS(النقاط!$L$2:$L$214,النقاط!$A$2:$A$214,A3)</f>
        <v>0</v>
      </c>
      <c r="P3" s="5" t="n">
        <f aca="false">SUMIFS(النقاط!$M$2:$M$214,النقاط!$A$2:$A$214,A3)</f>
        <v>0</v>
      </c>
    </row>
    <row r="4" customFormat="false" ht="15" hidden="false" customHeight="false" outlineLevel="0" collapsed="false">
      <c r="A4" s="4" t="s">
        <v>40</v>
      </c>
      <c r="B4" s="4" t="s">
        <v>41</v>
      </c>
      <c r="C4" s="4" t="s">
        <v>42</v>
      </c>
      <c r="D4" s="4" t="s">
        <v>29</v>
      </c>
      <c r="E4" s="4" t="s">
        <v>30</v>
      </c>
      <c r="F4" s="4" t="s">
        <v>31</v>
      </c>
      <c r="G4" s="4" t="n">
        <v>1</v>
      </c>
      <c r="H4" s="4" t="s">
        <v>32</v>
      </c>
      <c r="I4" s="4"/>
      <c r="J4" s="4"/>
      <c r="K4" s="4" t="s">
        <v>43</v>
      </c>
      <c r="L4" s="5" t="n">
        <f aca="false">COUNTIF(النقاط!$A$2:$A$214,A4)</f>
        <v>185</v>
      </c>
      <c r="M4" s="5" t="n">
        <f aca="false">COUNTIFS(النقاط!$A$2:$A$214,A4,النقاط!$F$2:$F$214,"")</f>
        <v>36</v>
      </c>
      <c r="N4" s="5" t="n">
        <f aca="false">SUMIFS(النقاط!$I$2:$I$214,النقاط!$A$2:$A$214,A4)</f>
        <v>0</v>
      </c>
      <c r="O4" s="5" t="n">
        <f aca="false">SUMIFS(النقاط!$L$2:$L$214,النقاط!$A$2:$A$214,A4)</f>
        <v>2293</v>
      </c>
      <c r="P4" s="5" t="n">
        <f aca="false">SUMIFS(النقاط!$M$2:$M$214,النقاط!$A$2:$A$214,A4)</f>
        <v>1609</v>
      </c>
    </row>
  </sheetData>
  <dataValidations count="2">
    <dataValidation allowBlank="false" errorStyle="stop" operator="between" showDropDown="false" showErrorMessage="false" showInputMessage="false" sqref="B2:B200" type="list">
      <formula1>القوائم!$B$2:$B$5</formula1>
      <formula2>0</formula2>
    </dataValidation>
    <dataValidation allowBlank="false" errorStyle="stop" operator="between" showDropDown="false" showErrorMessage="false" showInputMessage="false" sqref="H2:H200" type="list">
      <formula1>القوائم!$C$2:$C$6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8A3E"/>
    <pageSetUpPr fitToPage="false"/>
  </sheetPr>
  <dimension ref="A1:U2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8" min="8" style="0" width="34"/>
    <col collapsed="false" customWidth="true" hidden="false" outlineLevel="0" max="9" min="9" style="0" width="9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7" min="16" style="0" width="12"/>
    <col collapsed="false" customWidth="true" hidden="false" outlineLevel="0" max="18" min="18" style="0" width="11"/>
    <col collapsed="false" customWidth="true" hidden="false" outlineLevel="0" max="19" min="19" style="0" width="22"/>
    <col collapsed="false" customWidth="true" hidden="false" outlineLevel="0" max="20" min="20" style="0" width="14"/>
    <col collapsed="false" customWidth="true" hidden="false" outlineLevel="0" max="21" min="21" style="0" width="30"/>
  </cols>
  <sheetData>
    <row r="1" customFormat="false" ht="36" hidden="false" customHeight="true" outlineLevel="0" collapsed="false">
      <c r="A1" s="3" t="s">
        <v>10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6" t="s">
        <v>61</v>
      </c>
      <c r="T1" s="6" t="s">
        <v>62</v>
      </c>
      <c r="U1" s="3" t="s">
        <v>63</v>
      </c>
    </row>
    <row r="2" customFormat="false" ht="15" hidden="false" customHeight="false" outlineLevel="0" collapsed="false">
      <c r="A2" s="4" t="s">
        <v>26</v>
      </c>
      <c r="B2" s="4" t="s">
        <v>64</v>
      </c>
      <c r="C2" s="4" t="s">
        <v>65</v>
      </c>
      <c r="D2" s="4" t="s">
        <v>66</v>
      </c>
      <c r="E2" s="4"/>
      <c r="F2" s="7" t="n">
        <v>37.0574450101768</v>
      </c>
      <c r="G2" s="7" t="n">
        <v>9.99794981385369</v>
      </c>
      <c r="H2" s="8" t="s">
        <v>67</v>
      </c>
      <c r="I2" s="4"/>
      <c r="J2" s="4" t="s">
        <v>68</v>
      </c>
      <c r="K2" s="4"/>
      <c r="L2" s="4"/>
      <c r="M2" s="4"/>
      <c r="N2" s="4" t="s">
        <v>69</v>
      </c>
      <c r="O2" s="4" t="s">
        <v>70</v>
      </c>
      <c r="P2" s="4"/>
      <c r="Q2" s="4"/>
      <c r="R2" s="4" t="s">
        <v>71</v>
      </c>
      <c r="S2" s="4"/>
      <c r="T2" s="4"/>
      <c r="U2" s="4"/>
    </row>
    <row r="3" customFormat="false" ht="15" hidden="false" customHeight="false" outlineLevel="0" collapsed="false">
      <c r="A3" s="4" t="s">
        <v>26</v>
      </c>
      <c r="B3" s="4" t="s">
        <v>72</v>
      </c>
      <c r="C3" s="4" t="s">
        <v>73</v>
      </c>
      <c r="D3" s="4" t="s">
        <v>74</v>
      </c>
      <c r="E3" s="4"/>
      <c r="F3" s="7" t="n">
        <v>36.5682918755167</v>
      </c>
      <c r="G3" s="7" t="n">
        <v>10.513929781556</v>
      </c>
      <c r="H3" s="8" t="s">
        <v>67</v>
      </c>
      <c r="I3" s="4"/>
      <c r="J3" s="4" t="s">
        <v>68</v>
      </c>
      <c r="K3" s="4"/>
      <c r="L3" s="4"/>
      <c r="M3" s="4"/>
      <c r="N3" s="4" t="s">
        <v>69</v>
      </c>
      <c r="O3" s="4" t="s">
        <v>70</v>
      </c>
      <c r="P3" s="4"/>
      <c r="Q3" s="4"/>
      <c r="R3" s="4" t="s">
        <v>71</v>
      </c>
      <c r="S3" s="4"/>
      <c r="T3" s="4"/>
      <c r="U3" s="4"/>
    </row>
    <row r="4" customFormat="false" ht="15" hidden="false" customHeight="false" outlineLevel="0" collapsed="false">
      <c r="A4" s="4" t="s">
        <v>26</v>
      </c>
      <c r="B4" s="4" t="s">
        <v>75</v>
      </c>
      <c r="C4" s="4" t="s">
        <v>76</v>
      </c>
      <c r="D4" s="4" t="s">
        <v>77</v>
      </c>
      <c r="E4" s="4"/>
      <c r="F4" s="7" t="n">
        <v>36.6517854493165</v>
      </c>
      <c r="G4" s="7" t="n">
        <v>9.78471983921049</v>
      </c>
      <c r="H4" s="8" t="s">
        <v>67</v>
      </c>
      <c r="I4" s="4"/>
      <c r="J4" s="4" t="s">
        <v>68</v>
      </c>
      <c r="K4" s="4"/>
      <c r="L4" s="4"/>
      <c r="M4" s="4"/>
      <c r="N4" s="4" t="s">
        <v>69</v>
      </c>
      <c r="O4" s="4" t="s">
        <v>70</v>
      </c>
      <c r="P4" s="4"/>
      <c r="Q4" s="4"/>
      <c r="R4" s="4" t="s">
        <v>71</v>
      </c>
      <c r="S4" s="4"/>
      <c r="T4" s="4"/>
      <c r="U4" s="4"/>
    </row>
    <row r="5" customFormat="false" ht="15" hidden="false" customHeight="false" outlineLevel="0" collapsed="false">
      <c r="A5" s="4" t="s">
        <v>26</v>
      </c>
      <c r="B5" s="4" t="s">
        <v>78</v>
      </c>
      <c r="C5" s="4" t="s">
        <v>79</v>
      </c>
      <c r="D5" s="4" t="s">
        <v>80</v>
      </c>
      <c r="E5" s="4"/>
      <c r="F5" s="7" t="n">
        <v>35.4243932267052</v>
      </c>
      <c r="G5" s="7" t="n">
        <v>10.9963660496855</v>
      </c>
      <c r="H5" s="8" t="s">
        <v>67</v>
      </c>
      <c r="I5" s="4"/>
      <c r="J5" s="4" t="s">
        <v>68</v>
      </c>
      <c r="K5" s="4"/>
      <c r="L5" s="4"/>
      <c r="M5" s="4"/>
      <c r="N5" s="4" t="s">
        <v>69</v>
      </c>
      <c r="O5" s="4" t="s">
        <v>70</v>
      </c>
      <c r="P5" s="4"/>
      <c r="Q5" s="4"/>
      <c r="R5" s="4" t="s">
        <v>71</v>
      </c>
      <c r="S5" s="4"/>
      <c r="T5" s="4"/>
      <c r="U5" s="4"/>
    </row>
    <row r="6" customFormat="false" ht="15" hidden="false" customHeight="false" outlineLevel="0" collapsed="false">
      <c r="A6" s="4" t="s">
        <v>26</v>
      </c>
      <c r="B6" s="4" t="s">
        <v>81</v>
      </c>
      <c r="C6" s="4" t="s">
        <v>82</v>
      </c>
      <c r="D6" s="4" t="s">
        <v>83</v>
      </c>
      <c r="E6" s="4"/>
      <c r="F6" s="7" t="n">
        <v>35.773621354094</v>
      </c>
      <c r="G6" s="7" t="n">
        <v>10.7516654642387</v>
      </c>
      <c r="H6" s="8" t="s">
        <v>67</v>
      </c>
      <c r="I6" s="4"/>
      <c r="J6" s="4" t="s">
        <v>68</v>
      </c>
      <c r="K6" s="4"/>
      <c r="L6" s="4"/>
      <c r="M6" s="4"/>
      <c r="N6" s="4" t="s">
        <v>69</v>
      </c>
      <c r="O6" s="4" t="s">
        <v>70</v>
      </c>
      <c r="P6" s="4"/>
      <c r="Q6" s="4"/>
      <c r="R6" s="4" t="s">
        <v>71</v>
      </c>
      <c r="S6" s="4"/>
      <c r="T6" s="4"/>
      <c r="U6" s="4"/>
    </row>
    <row r="7" customFormat="false" ht="15" hidden="false" customHeight="false" outlineLevel="0" collapsed="false">
      <c r="A7" s="4" t="s">
        <v>26</v>
      </c>
      <c r="B7" s="4" t="s">
        <v>84</v>
      </c>
      <c r="C7" s="4" t="s">
        <v>85</v>
      </c>
      <c r="D7" s="4" t="s">
        <v>86</v>
      </c>
      <c r="E7" s="4"/>
      <c r="F7" s="7" t="n">
        <v>34.593838860101</v>
      </c>
      <c r="G7" s="7" t="n">
        <v>10.438497569279</v>
      </c>
      <c r="H7" s="8" t="s">
        <v>67</v>
      </c>
      <c r="I7" s="4"/>
      <c r="J7" s="4" t="s">
        <v>68</v>
      </c>
      <c r="K7" s="4"/>
      <c r="L7" s="4"/>
      <c r="M7" s="4"/>
      <c r="N7" s="4" t="s">
        <v>69</v>
      </c>
      <c r="O7" s="4" t="s">
        <v>70</v>
      </c>
      <c r="P7" s="4"/>
      <c r="Q7" s="4"/>
      <c r="R7" s="4" t="s">
        <v>71</v>
      </c>
      <c r="S7" s="4"/>
      <c r="T7" s="4"/>
      <c r="U7" s="4"/>
    </row>
    <row r="8" customFormat="false" ht="15" hidden="false" customHeight="false" outlineLevel="0" collapsed="false">
      <c r="A8" s="4" t="s">
        <v>26</v>
      </c>
      <c r="B8" s="4" t="s">
        <v>87</v>
      </c>
      <c r="C8" s="4" t="s">
        <v>85</v>
      </c>
      <c r="D8" s="4" t="s">
        <v>88</v>
      </c>
      <c r="E8" s="4"/>
      <c r="F8" s="7" t="n">
        <v>34.2959499384346</v>
      </c>
      <c r="G8" s="7" t="n">
        <v>10.0820832730132</v>
      </c>
      <c r="H8" s="8" t="s">
        <v>67</v>
      </c>
      <c r="I8" s="4"/>
      <c r="J8" s="4" t="s">
        <v>89</v>
      </c>
      <c r="K8" s="4"/>
      <c r="L8" s="4"/>
      <c r="M8" s="4"/>
      <c r="N8" s="4" t="s">
        <v>69</v>
      </c>
      <c r="O8" s="4" t="s">
        <v>70</v>
      </c>
      <c r="P8" s="4"/>
      <c r="Q8" s="4"/>
      <c r="R8" s="4" t="s">
        <v>71</v>
      </c>
      <c r="S8" s="4"/>
      <c r="T8" s="4"/>
      <c r="U8" s="4"/>
    </row>
    <row r="9" customFormat="false" ht="15" hidden="false" customHeight="false" outlineLevel="0" collapsed="false">
      <c r="A9" s="4" t="s">
        <v>26</v>
      </c>
      <c r="B9" s="4" t="s">
        <v>90</v>
      </c>
      <c r="C9" s="4" t="s">
        <v>91</v>
      </c>
      <c r="D9" s="4" t="s">
        <v>92</v>
      </c>
      <c r="E9" s="4"/>
      <c r="F9" s="7" t="n">
        <v>33.6712931844503</v>
      </c>
      <c r="G9" s="7" t="n">
        <v>10.0149423711645</v>
      </c>
      <c r="H9" s="8" t="s">
        <v>67</v>
      </c>
      <c r="I9" s="4"/>
      <c r="J9" s="4" t="s">
        <v>89</v>
      </c>
      <c r="K9" s="4"/>
      <c r="L9" s="4"/>
      <c r="M9" s="4"/>
      <c r="N9" s="4" t="s">
        <v>69</v>
      </c>
      <c r="O9" s="4" t="s">
        <v>70</v>
      </c>
      <c r="P9" s="4"/>
      <c r="Q9" s="4"/>
      <c r="R9" s="4" t="s">
        <v>71</v>
      </c>
      <c r="S9" s="4"/>
      <c r="T9" s="4"/>
      <c r="U9" s="4"/>
    </row>
    <row r="10" customFormat="false" ht="15" hidden="false" customHeight="false" outlineLevel="0" collapsed="false">
      <c r="A10" s="4" t="s">
        <v>26</v>
      </c>
      <c r="B10" s="4" t="s">
        <v>93</v>
      </c>
      <c r="C10" s="4" t="s">
        <v>91</v>
      </c>
      <c r="D10" s="4" t="s">
        <v>94</v>
      </c>
      <c r="E10" s="4"/>
      <c r="F10" s="7" t="n">
        <v>33.5606959625708</v>
      </c>
      <c r="G10" s="7" t="n">
        <v>10.3133622220947</v>
      </c>
      <c r="H10" s="8" t="s">
        <v>67</v>
      </c>
      <c r="I10" s="4"/>
      <c r="J10" s="4" t="s">
        <v>89</v>
      </c>
      <c r="K10" s="4"/>
      <c r="L10" s="4"/>
      <c r="M10" s="4"/>
      <c r="N10" s="4" t="s">
        <v>69</v>
      </c>
      <c r="O10" s="4" t="s">
        <v>70</v>
      </c>
      <c r="P10" s="4"/>
      <c r="Q10" s="4"/>
      <c r="R10" s="4" t="s">
        <v>71</v>
      </c>
      <c r="S10" s="4"/>
      <c r="T10" s="4"/>
      <c r="U10" s="4"/>
    </row>
    <row r="11" customFormat="false" ht="15" hidden="false" customHeight="false" outlineLevel="0" collapsed="false">
      <c r="A11" s="4" t="s">
        <v>26</v>
      </c>
      <c r="B11" s="4" t="s">
        <v>95</v>
      </c>
      <c r="C11" s="4" t="s">
        <v>96</v>
      </c>
      <c r="D11" s="4" t="s">
        <v>97</v>
      </c>
      <c r="E11" s="4"/>
      <c r="F11" s="7" t="n">
        <v>33.127882</v>
      </c>
      <c r="G11" s="7" t="n">
        <v>11.069133</v>
      </c>
      <c r="H11" s="8" t="s">
        <v>67</v>
      </c>
      <c r="I11" s="4"/>
      <c r="J11" s="4" t="s">
        <v>89</v>
      </c>
      <c r="K11" s="4"/>
      <c r="L11" s="4"/>
      <c r="M11" s="4"/>
      <c r="N11" s="4" t="s">
        <v>69</v>
      </c>
      <c r="O11" s="4" t="s">
        <v>70</v>
      </c>
      <c r="P11" s="4"/>
      <c r="Q11" s="4"/>
      <c r="R11" s="4" t="s">
        <v>71</v>
      </c>
      <c r="S11" s="4"/>
      <c r="T11" s="4"/>
      <c r="U11" s="4"/>
    </row>
    <row r="12" customFormat="false" ht="15" hidden="false" customHeight="false" outlineLevel="0" collapsed="false">
      <c r="A12" s="4" t="s">
        <v>34</v>
      </c>
      <c r="B12" s="4" t="s">
        <v>98</v>
      </c>
      <c r="C12" s="4" t="s">
        <v>99</v>
      </c>
      <c r="D12" s="4" t="s">
        <v>100</v>
      </c>
      <c r="E12" s="4"/>
      <c r="F12" s="7" t="n">
        <v>36.71297</v>
      </c>
      <c r="G12" s="7" t="n">
        <v>9.88303</v>
      </c>
      <c r="H12" s="8" t="s">
        <v>101</v>
      </c>
      <c r="I12" s="4" t="n">
        <v>4</v>
      </c>
      <c r="J12" s="4"/>
      <c r="K12" s="4"/>
      <c r="L12" s="4"/>
      <c r="M12" s="4"/>
      <c r="N12" s="4" t="s">
        <v>102</v>
      </c>
      <c r="O12" s="4" t="s">
        <v>70</v>
      </c>
      <c r="P12" s="4" t="s">
        <v>103</v>
      </c>
      <c r="Q12" s="4"/>
      <c r="R12" s="4" t="s">
        <v>71</v>
      </c>
      <c r="S12" s="4" t="s">
        <v>104</v>
      </c>
      <c r="T12" s="4" t="s">
        <v>105</v>
      </c>
      <c r="U12" s="4"/>
    </row>
    <row r="13" customFormat="false" ht="15" hidden="false" customHeight="false" outlineLevel="0" collapsed="false">
      <c r="A13" s="4" t="s">
        <v>34</v>
      </c>
      <c r="B13" s="4" t="s">
        <v>106</v>
      </c>
      <c r="C13" s="4" t="s">
        <v>76</v>
      </c>
      <c r="D13" s="4" t="s">
        <v>107</v>
      </c>
      <c r="E13" s="4"/>
      <c r="F13" s="7" t="n">
        <v>36.54001</v>
      </c>
      <c r="G13" s="7" t="n">
        <v>9.66322</v>
      </c>
      <c r="H13" s="8" t="s">
        <v>101</v>
      </c>
      <c r="I13" s="4" t="n">
        <v>4</v>
      </c>
      <c r="J13" s="4"/>
      <c r="K13" s="4"/>
      <c r="L13" s="4"/>
      <c r="M13" s="4"/>
      <c r="N13" s="4" t="s">
        <v>102</v>
      </c>
      <c r="O13" s="4" t="s">
        <v>70</v>
      </c>
      <c r="P13" s="4" t="s">
        <v>103</v>
      </c>
      <c r="Q13" s="4"/>
      <c r="R13" s="4" t="s">
        <v>71</v>
      </c>
      <c r="S13" s="4" t="s">
        <v>108</v>
      </c>
      <c r="T13" s="4" t="s">
        <v>109</v>
      </c>
      <c r="U13" s="4"/>
    </row>
    <row r="14" customFormat="false" ht="15" hidden="false" customHeight="false" outlineLevel="0" collapsed="false">
      <c r="A14" s="4" t="s">
        <v>34</v>
      </c>
      <c r="B14" s="4" t="s">
        <v>110</v>
      </c>
      <c r="C14" s="4" t="s">
        <v>76</v>
      </c>
      <c r="D14" s="4" t="s">
        <v>111</v>
      </c>
      <c r="E14" s="4"/>
      <c r="F14" s="7" t="n">
        <v>36.52182</v>
      </c>
      <c r="G14" s="7" t="n">
        <v>9.10498</v>
      </c>
      <c r="H14" s="8" t="s">
        <v>101</v>
      </c>
      <c r="I14" s="4" t="n">
        <v>4</v>
      </c>
      <c r="J14" s="4"/>
      <c r="K14" s="4"/>
      <c r="L14" s="4"/>
      <c r="M14" s="4"/>
      <c r="N14" s="4" t="s">
        <v>102</v>
      </c>
      <c r="O14" s="4" t="s">
        <v>70</v>
      </c>
      <c r="P14" s="4" t="s">
        <v>30</v>
      </c>
      <c r="Q14" s="4"/>
      <c r="R14" s="4" t="s">
        <v>71</v>
      </c>
      <c r="S14" s="4" t="s">
        <v>112</v>
      </c>
      <c r="T14" s="4" t="s">
        <v>113</v>
      </c>
      <c r="U14" s="4"/>
    </row>
    <row r="15" customFormat="false" ht="15" hidden="false" customHeight="false" outlineLevel="0" collapsed="false">
      <c r="A15" s="4" t="s">
        <v>34</v>
      </c>
      <c r="B15" s="4" t="s">
        <v>114</v>
      </c>
      <c r="C15" s="4" t="s">
        <v>115</v>
      </c>
      <c r="D15" s="4" t="s">
        <v>116</v>
      </c>
      <c r="E15" s="4"/>
      <c r="F15" s="7" t="n">
        <v>36.68074</v>
      </c>
      <c r="G15" s="7" t="n">
        <v>10.29017</v>
      </c>
      <c r="H15" s="8" t="s">
        <v>117</v>
      </c>
      <c r="I15" s="4" t="n">
        <v>3</v>
      </c>
      <c r="J15" s="4"/>
      <c r="K15" s="4"/>
      <c r="L15" s="4"/>
      <c r="M15" s="4"/>
      <c r="N15" s="4" t="s">
        <v>102</v>
      </c>
      <c r="O15" s="4" t="s">
        <v>70</v>
      </c>
      <c r="P15" s="4" t="s">
        <v>118</v>
      </c>
      <c r="Q15" s="4"/>
      <c r="R15" s="4" t="s">
        <v>71</v>
      </c>
      <c r="S15" s="4" t="s">
        <v>119</v>
      </c>
      <c r="T15" s="4" t="s">
        <v>120</v>
      </c>
      <c r="U15" s="4"/>
    </row>
    <row r="16" customFormat="false" ht="15" hidden="false" customHeight="false" outlineLevel="0" collapsed="false">
      <c r="A16" s="4" t="s">
        <v>34</v>
      </c>
      <c r="B16" s="4" t="s">
        <v>121</v>
      </c>
      <c r="C16" s="4" t="s">
        <v>122</v>
      </c>
      <c r="D16" s="4" t="s">
        <v>123</v>
      </c>
      <c r="E16" s="4"/>
      <c r="F16" s="7" t="n">
        <v>36.09144</v>
      </c>
      <c r="G16" s="7" t="n">
        <v>9.56673</v>
      </c>
      <c r="H16" s="8" t="s">
        <v>124</v>
      </c>
      <c r="I16" s="4" t="n">
        <v>4</v>
      </c>
      <c r="J16" s="4"/>
      <c r="K16" s="4"/>
      <c r="L16" s="4"/>
      <c r="M16" s="4"/>
      <c r="N16" s="4" t="s">
        <v>102</v>
      </c>
      <c r="O16" s="4" t="s">
        <v>70</v>
      </c>
      <c r="P16" s="4" t="s">
        <v>118</v>
      </c>
      <c r="Q16" s="4"/>
      <c r="R16" s="4" t="s">
        <v>71</v>
      </c>
      <c r="S16" s="4" t="s">
        <v>125</v>
      </c>
      <c r="T16" s="4" t="s">
        <v>126</v>
      </c>
      <c r="U16" s="4"/>
    </row>
    <row r="17" customFormat="false" ht="15" hidden="false" customHeight="false" outlineLevel="0" collapsed="false">
      <c r="A17" s="4" t="s">
        <v>34</v>
      </c>
      <c r="B17" s="4" t="s">
        <v>127</v>
      </c>
      <c r="C17" s="4" t="s">
        <v>65</v>
      </c>
      <c r="D17" s="4" t="s">
        <v>128</v>
      </c>
      <c r="E17" s="4"/>
      <c r="F17" s="7" t="n">
        <v>37.05765</v>
      </c>
      <c r="G17" s="7" t="n">
        <v>9.23985</v>
      </c>
      <c r="H17" s="8" t="s">
        <v>101</v>
      </c>
      <c r="I17" s="4" t="n">
        <v>6</v>
      </c>
      <c r="J17" s="4"/>
      <c r="K17" s="4"/>
      <c r="L17" s="4"/>
      <c r="M17" s="4"/>
      <c r="N17" s="4" t="s">
        <v>129</v>
      </c>
      <c r="O17" s="4" t="s">
        <v>70</v>
      </c>
      <c r="P17" s="4" t="s">
        <v>30</v>
      </c>
      <c r="Q17" s="4"/>
      <c r="R17" s="4" t="s">
        <v>71</v>
      </c>
      <c r="S17" s="4" t="s">
        <v>130</v>
      </c>
      <c r="T17" s="4" t="s">
        <v>131</v>
      </c>
      <c r="U17" s="4"/>
    </row>
    <row r="18" customFormat="false" ht="15" hidden="false" customHeight="false" outlineLevel="0" collapsed="false">
      <c r="A18" s="4" t="s">
        <v>34</v>
      </c>
      <c r="B18" s="4" t="s">
        <v>132</v>
      </c>
      <c r="C18" s="4" t="s">
        <v>65</v>
      </c>
      <c r="D18" s="4" t="s">
        <v>133</v>
      </c>
      <c r="E18" s="4"/>
      <c r="F18" s="7" t="n">
        <v>37.13985</v>
      </c>
      <c r="G18" s="7" t="n">
        <v>10.10206</v>
      </c>
      <c r="H18" s="8" t="s">
        <v>101</v>
      </c>
      <c r="I18" s="4" t="n">
        <v>6</v>
      </c>
      <c r="J18" s="4"/>
      <c r="K18" s="4"/>
      <c r="L18" s="4"/>
      <c r="M18" s="4"/>
      <c r="N18" s="4" t="s">
        <v>134</v>
      </c>
      <c r="O18" s="4" t="s">
        <v>70</v>
      </c>
      <c r="P18" s="4" t="s">
        <v>30</v>
      </c>
      <c r="Q18" s="4"/>
      <c r="R18" s="4" t="s">
        <v>71</v>
      </c>
      <c r="S18" s="4" t="s">
        <v>135</v>
      </c>
      <c r="T18" s="4" t="s">
        <v>136</v>
      </c>
      <c r="U18" s="4"/>
    </row>
    <row r="19" customFormat="false" ht="15" hidden="false" customHeight="false" outlineLevel="0" collapsed="false">
      <c r="A19" s="4" t="s">
        <v>34</v>
      </c>
      <c r="B19" s="4" t="s">
        <v>137</v>
      </c>
      <c r="C19" s="4" t="s">
        <v>65</v>
      </c>
      <c r="D19" s="4" t="s">
        <v>138</v>
      </c>
      <c r="E19" s="4"/>
      <c r="F19" s="7" t="n">
        <v>36.92535</v>
      </c>
      <c r="G19" s="7" t="n">
        <v>9.38899</v>
      </c>
      <c r="H19" s="8" t="s">
        <v>101</v>
      </c>
      <c r="I19" s="4" t="n">
        <v>7</v>
      </c>
      <c r="J19" s="4"/>
      <c r="K19" s="4"/>
      <c r="L19" s="4"/>
      <c r="M19" s="4"/>
      <c r="N19" s="4" t="s">
        <v>139</v>
      </c>
      <c r="O19" s="4" t="s">
        <v>70</v>
      </c>
      <c r="P19" s="4" t="s">
        <v>140</v>
      </c>
      <c r="Q19" s="4"/>
      <c r="R19" s="4" t="s">
        <v>71</v>
      </c>
      <c r="S19" s="4" t="s">
        <v>130</v>
      </c>
      <c r="T19" s="4" t="s">
        <v>131</v>
      </c>
      <c r="U19" s="4"/>
    </row>
    <row r="20" customFormat="false" ht="15" hidden="false" customHeight="false" outlineLevel="0" collapsed="false">
      <c r="A20" s="4" t="s">
        <v>34</v>
      </c>
      <c r="B20" s="4" t="s">
        <v>141</v>
      </c>
      <c r="C20" s="4" t="s">
        <v>65</v>
      </c>
      <c r="D20" s="4" t="s">
        <v>142</v>
      </c>
      <c r="E20" s="4"/>
      <c r="F20" s="4"/>
      <c r="G20" s="4"/>
      <c r="H20" s="8" t="s">
        <v>143</v>
      </c>
      <c r="I20" s="4" t="n">
        <v>7</v>
      </c>
      <c r="J20" s="4"/>
      <c r="K20" s="4"/>
      <c r="L20" s="4"/>
      <c r="M20" s="4"/>
      <c r="N20" s="4" t="s">
        <v>144</v>
      </c>
      <c r="O20" s="4" t="s">
        <v>70</v>
      </c>
      <c r="P20" s="4" t="s">
        <v>140</v>
      </c>
      <c r="Q20" s="4"/>
      <c r="R20" s="4" t="s">
        <v>71</v>
      </c>
      <c r="S20" s="4" t="s">
        <v>135</v>
      </c>
      <c r="T20" s="4" t="s">
        <v>136</v>
      </c>
      <c r="U20" s="4"/>
    </row>
    <row r="21" customFormat="false" ht="15" hidden="false" customHeight="false" outlineLevel="0" collapsed="false">
      <c r="A21" s="4" t="s">
        <v>34</v>
      </c>
      <c r="B21" s="4" t="s">
        <v>145</v>
      </c>
      <c r="C21" s="4" t="s">
        <v>146</v>
      </c>
      <c r="D21" s="4" t="s">
        <v>147</v>
      </c>
      <c r="E21" s="4"/>
      <c r="F21" s="7" t="n">
        <v>36.46781</v>
      </c>
      <c r="G21" s="7" t="n">
        <v>8.55</v>
      </c>
      <c r="H21" s="8" t="s">
        <v>101</v>
      </c>
      <c r="I21" s="4" t="n">
        <v>4</v>
      </c>
      <c r="J21" s="4"/>
      <c r="K21" s="4"/>
      <c r="L21" s="4"/>
      <c r="M21" s="4"/>
      <c r="N21" s="4" t="s">
        <v>102</v>
      </c>
      <c r="O21" s="4" t="s">
        <v>70</v>
      </c>
      <c r="P21" s="4" t="s">
        <v>148</v>
      </c>
      <c r="Q21" s="4"/>
      <c r="R21" s="4" t="s">
        <v>71</v>
      </c>
      <c r="S21" s="4" t="s">
        <v>149</v>
      </c>
      <c r="T21" s="4" t="s">
        <v>150</v>
      </c>
      <c r="U21" s="4"/>
    </row>
    <row r="22" customFormat="false" ht="15" hidden="false" customHeight="false" outlineLevel="0" collapsed="false">
      <c r="A22" s="4" t="s">
        <v>34</v>
      </c>
      <c r="B22" s="4" t="s">
        <v>151</v>
      </c>
      <c r="C22" s="4" t="s">
        <v>146</v>
      </c>
      <c r="D22" s="4" t="s">
        <v>152</v>
      </c>
      <c r="E22" s="4"/>
      <c r="F22" s="7" t="n">
        <v>36.70632</v>
      </c>
      <c r="G22" s="7" t="n">
        <v>8.94637</v>
      </c>
      <c r="H22" s="8" t="s">
        <v>124</v>
      </c>
      <c r="I22" s="4" t="n">
        <v>10</v>
      </c>
      <c r="J22" s="4"/>
      <c r="K22" s="4"/>
      <c r="L22" s="4"/>
      <c r="M22" s="4"/>
      <c r="N22" s="4" t="s">
        <v>153</v>
      </c>
      <c r="O22" s="4" t="s">
        <v>70</v>
      </c>
      <c r="P22" s="4" t="s">
        <v>154</v>
      </c>
      <c r="Q22" s="4"/>
      <c r="R22" s="4" t="s">
        <v>71</v>
      </c>
      <c r="S22" s="4" t="s">
        <v>155</v>
      </c>
      <c r="T22" s="4" t="s">
        <v>156</v>
      </c>
      <c r="U22" s="4"/>
    </row>
    <row r="23" customFormat="false" ht="15" hidden="false" customHeight="false" outlineLevel="0" collapsed="false">
      <c r="A23" s="4" t="s">
        <v>34</v>
      </c>
      <c r="B23" s="4" t="s">
        <v>157</v>
      </c>
      <c r="C23" s="4" t="s">
        <v>146</v>
      </c>
      <c r="D23" s="4" t="s">
        <v>158</v>
      </c>
      <c r="E23" s="4"/>
      <c r="F23" s="7" t="n">
        <v>36.60741</v>
      </c>
      <c r="G23" s="7" t="n">
        <v>8.96965</v>
      </c>
      <c r="H23" s="8" t="s">
        <v>124</v>
      </c>
      <c r="I23" s="4" t="n">
        <v>10</v>
      </c>
      <c r="J23" s="4"/>
      <c r="K23" s="4"/>
      <c r="L23" s="4"/>
      <c r="M23" s="4"/>
      <c r="N23" s="4" t="s">
        <v>102</v>
      </c>
      <c r="O23" s="4" t="s">
        <v>70</v>
      </c>
      <c r="P23" s="4" t="s">
        <v>148</v>
      </c>
      <c r="Q23" s="4"/>
      <c r="R23" s="4" t="s">
        <v>71</v>
      </c>
      <c r="S23" s="4" t="s">
        <v>159</v>
      </c>
      <c r="T23" s="4" t="s">
        <v>160</v>
      </c>
      <c r="U23" s="4"/>
    </row>
    <row r="24" customFormat="false" ht="15" hidden="false" customHeight="false" outlineLevel="0" collapsed="false">
      <c r="A24" s="4" t="s">
        <v>34</v>
      </c>
      <c r="B24" s="4" t="s">
        <v>161</v>
      </c>
      <c r="C24" s="4" t="s">
        <v>146</v>
      </c>
      <c r="D24" s="4" t="s">
        <v>162</v>
      </c>
      <c r="E24" s="4"/>
      <c r="F24" s="7" t="n">
        <v>36.65566</v>
      </c>
      <c r="G24" s="7" t="n">
        <v>8.69579</v>
      </c>
      <c r="H24" s="8" t="s">
        <v>117</v>
      </c>
      <c r="I24" s="4" t="n">
        <v>10</v>
      </c>
      <c r="J24" s="4"/>
      <c r="K24" s="4"/>
      <c r="L24" s="4"/>
      <c r="M24" s="4"/>
      <c r="N24" s="4" t="s">
        <v>102</v>
      </c>
      <c r="O24" s="4" t="s">
        <v>70</v>
      </c>
      <c r="P24" s="4" t="s">
        <v>154</v>
      </c>
      <c r="Q24" s="4"/>
      <c r="R24" s="4" t="s">
        <v>71</v>
      </c>
      <c r="S24" s="4" t="s">
        <v>163</v>
      </c>
      <c r="T24" s="4" t="s">
        <v>164</v>
      </c>
      <c r="U24" s="4"/>
    </row>
    <row r="25" customFormat="false" ht="15" hidden="false" customHeight="false" outlineLevel="0" collapsed="false">
      <c r="A25" s="4" t="s">
        <v>34</v>
      </c>
      <c r="B25" s="4" t="s">
        <v>165</v>
      </c>
      <c r="C25" s="4" t="s">
        <v>166</v>
      </c>
      <c r="D25" s="4" t="s">
        <v>167</v>
      </c>
      <c r="E25" s="4"/>
      <c r="F25" s="7" t="n">
        <v>36.07347</v>
      </c>
      <c r="G25" s="7" t="n">
        <v>9.01929</v>
      </c>
      <c r="H25" s="8" t="s">
        <v>101</v>
      </c>
      <c r="I25" s="4" t="n">
        <v>10</v>
      </c>
      <c r="J25" s="4"/>
      <c r="K25" s="4"/>
      <c r="L25" s="4"/>
      <c r="M25" s="4"/>
      <c r="N25" s="4" t="s">
        <v>144</v>
      </c>
      <c r="O25" s="4" t="s">
        <v>70</v>
      </c>
      <c r="P25" s="4" t="s">
        <v>148</v>
      </c>
      <c r="Q25" s="4"/>
      <c r="R25" s="4" t="s">
        <v>71</v>
      </c>
      <c r="S25" s="4" t="s">
        <v>168</v>
      </c>
      <c r="T25" s="4" t="s">
        <v>169</v>
      </c>
      <c r="U25" s="4"/>
    </row>
    <row r="26" customFormat="false" ht="15" hidden="false" customHeight="false" outlineLevel="0" collapsed="false">
      <c r="A26" s="4" t="s">
        <v>34</v>
      </c>
      <c r="B26" s="4" t="s">
        <v>170</v>
      </c>
      <c r="C26" s="4" t="s">
        <v>166</v>
      </c>
      <c r="D26" s="4" t="s">
        <v>171</v>
      </c>
      <c r="E26" s="4"/>
      <c r="F26" s="7" t="n">
        <v>36.22204</v>
      </c>
      <c r="G26" s="7" t="n">
        <v>8.35473</v>
      </c>
      <c r="H26" s="8" t="s">
        <v>117</v>
      </c>
      <c r="I26" s="4" t="n">
        <v>10</v>
      </c>
      <c r="J26" s="4"/>
      <c r="K26" s="4"/>
      <c r="L26" s="4"/>
      <c r="M26" s="4"/>
      <c r="N26" s="4" t="s">
        <v>144</v>
      </c>
      <c r="O26" s="4" t="s">
        <v>70</v>
      </c>
      <c r="P26" s="4" t="s">
        <v>103</v>
      </c>
      <c r="Q26" s="4"/>
      <c r="R26" s="4" t="s">
        <v>71</v>
      </c>
      <c r="S26" s="4" t="s">
        <v>172</v>
      </c>
      <c r="T26" s="4" t="s">
        <v>173</v>
      </c>
      <c r="U26" s="4"/>
    </row>
    <row r="27" customFormat="false" ht="15" hidden="false" customHeight="false" outlineLevel="0" collapsed="false">
      <c r="A27" s="4" t="s">
        <v>34</v>
      </c>
      <c r="B27" s="4" t="s">
        <v>174</v>
      </c>
      <c r="C27" s="4" t="s">
        <v>175</v>
      </c>
      <c r="D27" s="4" t="s">
        <v>176</v>
      </c>
      <c r="E27" s="4"/>
      <c r="F27" s="7" t="n">
        <v>36.51808</v>
      </c>
      <c r="G27" s="7" t="n">
        <v>9.95442</v>
      </c>
      <c r="H27" s="8" t="s">
        <v>101</v>
      </c>
      <c r="I27" s="4" t="n">
        <v>3</v>
      </c>
      <c r="J27" s="4"/>
      <c r="K27" s="4"/>
      <c r="L27" s="4"/>
      <c r="M27" s="4"/>
      <c r="N27" s="4" t="s">
        <v>177</v>
      </c>
      <c r="O27" s="4" t="s">
        <v>70</v>
      </c>
      <c r="P27" s="4" t="s">
        <v>178</v>
      </c>
      <c r="Q27" s="4"/>
      <c r="R27" s="4" t="s">
        <v>71</v>
      </c>
      <c r="S27" s="4" t="s">
        <v>179</v>
      </c>
      <c r="T27" s="4" t="s">
        <v>180</v>
      </c>
      <c r="U27" s="4"/>
    </row>
    <row r="28" customFormat="false" ht="15" hidden="false" customHeight="false" outlineLevel="0" collapsed="false">
      <c r="A28" s="4" t="s">
        <v>34</v>
      </c>
      <c r="B28" s="4" t="s">
        <v>181</v>
      </c>
      <c r="C28" s="4" t="s">
        <v>175</v>
      </c>
      <c r="D28" s="4" t="s">
        <v>182</v>
      </c>
      <c r="E28" s="4"/>
      <c r="F28" s="7" t="n">
        <v>36.12384</v>
      </c>
      <c r="G28" s="7" t="n">
        <v>10.09305</v>
      </c>
      <c r="H28" s="8" t="s">
        <v>101</v>
      </c>
      <c r="I28" s="4" t="n">
        <v>3</v>
      </c>
      <c r="J28" s="4"/>
      <c r="K28" s="4"/>
      <c r="L28" s="4"/>
      <c r="M28" s="4"/>
      <c r="N28" s="4" t="s">
        <v>177</v>
      </c>
      <c r="O28" s="4" t="s">
        <v>183</v>
      </c>
      <c r="P28" s="4" t="s">
        <v>184</v>
      </c>
      <c r="Q28" s="4"/>
      <c r="R28" s="4" t="s">
        <v>71</v>
      </c>
      <c r="S28" s="4" t="s">
        <v>185</v>
      </c>
      <c r="T28" s="4" t="s">
        <v>186</v>
      </c>
      <c r="U28" s="4"/>
    </row>
    <row r="29" customFormat="false" ht="15" hidden="false" customHeight="false" outlineLevel="0" collapsed="false">
      <c r="A29" s="4" t="s">
        <v>34</v>
      </c>
      <c r="B29" s="4" t="s">
        <v>187</v>
      </c>
      <c r="C29" s="4" t="s">
        <v>188</v>
      </c>
      <c r="D29" s="4" t="s">
        <v>189</v>
      </c>
      <c r="E29" s="4"/>
      <c r="F29" s="7" t="n">
        <v>35.34969</v>
      </c>
      <c r="G29" s="7" t="n">
        <v>8.62557</v>
      </c>
      <c r="H29" s="8" t="s">
        <v>101</v>
      </c>
      <c r="I29" s="4" t="n">
        <v>4</v>
      </c>
      <c r="J29" s="4"/>
      <c r="K29" s="4"/>
      <c r="L29" s="4"/>
      <c r="M29" s="4"/>
      <c r="N29" s="4" t="s">
        <v>177</v>
      </c>
      <c r="O29" s="4" t="s">
        <v>183</v>
      </c>
      <c r="P29" s="4" t="s">
        <v>30</v>
      </c>
      <c r="Q29" s="4"/>
      <c r="R29" s="4" t="s">
        <v>71</v>
      </c>
      <c r="S29" s="4" t="s">
        <v>190</v>
      </c>
      <c r="T29" s="4" t="s">
        <v>191</v>
      </c>
      <c r="U29" s="4"/>
    </row>
    <row r="30" customFormat="false" ht="15" hidden="false" customHeight="false" outlineLevel="0" collapsed="false">
      <c r="A30" s="4" t="s">
        <v>40</v>
      </c>
      <c r="B30" s="4" t="s">
        <v>192</v>
      </c>
      <c r="C30" s="4" t="s">
        <v>146</v>
      </c>
      <c r="D30" s="4" t="s">
        <v>193</v>
      </c>
      <c r="E30" s="4"/>
      <c r="F30" s="4"/>
      <c r="G30" s="4"/>
      <c r="H30" s="8" t="s">
        <v>143</v>
      </c>
      <c r="I30" s="4"/>
      <c r="J30" s="4"/>
      <c r="K30" s="4" t="n">
        <v>1</v>
      </c>
      <c r="L30" s="4" t="n">
        <v>18</v>
      </c>
      <c r="M30" s="4" t="n">
        <v>18</v>
      </c>
      <c r="N30" s="4" t="s">
        <v>194</v>
      </c>
      <c r="O30" s="4" t="s">
        <v>195</v>
      </c>
      <c r="P30" s="4"/>
      <c r="Q30" s="4"/>
      <c r="R30" s="4" t="s">
        <v>71</v>
      </c>
      <c r="S30" s="4"/>
      <c r="T30" s="4"/>
      <c r="U30" s="4" t="s">
        <v>196</v>
      </c>
    </row>
    <row r="31" customFormat="false" ht="15" hidden="false" customHeight="false" outlineLevel="0" collapsed="false">
      <c r="A31" s="4" t="s">
        <v>40</v>
      </c>
      <c r="B31" s="4" t="s">
        <v>197</v>
      </c>
      <c r="C31" s="4" t="s">
        <v>146</v>
      </c>
      <c r="D31" s="4" t="s">
        <v>198</v>
      </c>
      <c r="E31" s="4"/>
      <c r="F31" s="4"/>
      <c r="G31" s="4"/>
      <c r="H31" s="8" t="s">
        <v>143</v>
      </c>
      <c r="I31" s="4"/>
      <c r="J31" s="4"/>
      <c r="K31" s="4" t="n">
        <v>2</v>
      </c>
      <c r="L31" s="4" t="n">
        <v>19</v>
      </c>
      <c r="M31" s="4" t="n">
        <v>19</v>
      </c>
      <c r="N31" s="4" t="s">
        <v>194</v>
      </c>
      <c r="O31" s="4" t="s">
        <v>195</v>
      </c>
      <c r="P31" s="4"/>
      <c r="Q31" s="4"/>
      <c r="R31" s="4" t="s">
        <v>71</v>
      </c>
      <c r="S31" s="4"/>
      <c r="T31" s="4"/>
      <c r="U31" s="4" t="s">
        <v>196</v>
      </c>
    </row>
    <row r="32" customFormat="false" ht="15" hidden="false" customHeight="false" outlineLevel="0" collapsed="false">
      <c r="A32" s="4" t="s">
        <v>40</v>
      </c>
      <c r="B32" s="4" t="s">
        <v>199</v>
      </c>
      <c r="C32" s="4" t="s">
        <v>146</v>
      </c>
      <c r="D32" s="4" t="s">
        <v>200</v>
      </c>
      <c r="E32" s="4"/>
      <c r="F32" s="4"/>
      <c r="G32" s="4"/>
      <c r="H32" s="8" t="s">
        <v>143</v>
      </c>
      <c r="I32" s="4"/>
      <c r="J32" s="4"/>
      <c r="K32" s="4" t="n">
        <v>1</v>
      </c>
      <c r="L32" s="4" t="n">
        <v>18</v>
      </c>
      <c r="M32" s="4" t="n">
        <v>18</v>
      </c>
      <c r="N32" s="4" t="s">
        <v>201</v>
      </c>
      <c r="O32" s="4" t="s">
        <v>195</v>
      </c>
      <c r="P32" s="4"/>
      <c r="Q32" s="4"/>
      <c r="R32" s="4" t="s">
        <v>71</v>
      </c>
      <c r="S32" s="4"/>
      <c r="T32" s="4"/>
      <c r="U32" s="4" t="s">
        <v>196</v>
      </c>
    </row>
    <row r="33" customFormat="false" ht="15" hidden="false" customHeight="false" outlineLevel="0" collapsed="false">
      <c r="A33" s="4" t="s">
        <v>40</v>
      </c>
      <c r="B33" s="4" t="s">
        <v>202</v>
      </c>
      <c r="C33" s="4" t="s">
        <v>146</v>
      </c>
      <c r="D33" s="4" t="s">
        <v>203</v>
      </c>
      <c r="E33" s="4"/>
      <c r="F33" s="4"/>
      <c r="G33" s="4"/>
      <c r="H33" s="8" t="s">
        <v>143</v>
      </c>
      <c r="I33" s="4"/>
      <c r="J33" s="4"/>
      <c r="K33" s="4" t="n">
        <v>1</v>
      </c>
      <c r="L33" s="4" t="n">
        <v>18</v>
      </c>
      <c r="M33" s="4" t="n">
        <v>18</v>
      </c>
      <c r="N33" s="4" t="s">
        <v>201</v>
      </c>
      <c r="O33" s="4" t="s">
        <v>195</v>
      </c>
      <c r="P33" s="4"/>
      <c r="Q33" s="4"/>
      <c r="R33" s="4" t="s">
        <v>71</v>
      </c>
      <c r="S33" s="4"/>
      <c r="T33" s="4"/>
      <c r="U33" s="4" t="s">
        <v>196</v>
      </c>
    </row>
    <row r="34" customFormat="false" ht="15" hidden="false" customHeight="false" outlineLevel="0" collapsed="false">
      <c r="A34" s="4" t="s">
        <v>40</v>
      </c>
      <c r="B34" s="4" t="s">
        <v>204</v>
      </c>
      <c r="C34" s="4" t="s">
        <v>146</v>
      </c>
      <c r="D34" s="4" t="s">
        <v>205</v>
      </c>
      <c r="E34" s="4"/>
      <c r="F34" s="4"/>
      <c r="G34" s="4"/>
      <c r="H34" s="8" t="s">
        <v>143</v>
      </c>
      <c r="I34" s="4"/>
      <c r="J34" s="4"/>
      <c r="K34" s="4" t="n">
        <v>1</v>
      </c>
      <c r="L34" s="4" t="n">
        <v>8</v>
      </c>
      <c r="M34" s="4" t="n">
        <v>8</v>
      </c>
      <c r="N34" s="4" t="s">
        <v>201</v>
      </c>
      <c r="O34" s="4" t="s">
        <v>195</v>
      </c>
      <c r="P34" s="4"/>
      <c r="Q34" s="4"/>
      <c r="R34" s="4" t="s">
        <v>71</v>
      </c>
      <c r="S34" s="4"/>
      <c r="T34" s="4"/>
      <c r="U34" s="4" t="s">
        <v>196</v>
      </c>
    </row>
    <row r="35" customFormat="false" ht="15" hidden="false" customHeight="false" outlineLevel="0" collapsed="false">
      <c r="A35" s="4" t="s">
        <v>40</v>
      </c>
      <c r="B35" s="4" t="s">
        <v>206</v>
      </c>
      <c r="C35" s="4" t="s">
        <v>146</v>
      </c>
      <c r="D35" s="4" t="s">
        <v>207</v>
      </c>
      <c r="E35" s="4"/>
      <c r="F35" s="7" t="n">
        <v>36.95068</v>
      </c>
      <c r="G35" s="7" t="n">
        <v>8.71332</v>
      </c>
      <c r="H35" s="8" t="s">
        <v>101</v>
      </c>
      <c r="I35" s="4"/>
      <c r="J35" s="4"/>
      <c r="K35" s="4" t="n">
        <v>0</v>
      </c>
      <c r="L35" s="4" t="n">
        <v>8</v>
      </c>
      <c r="M35" s="4" t="n">
        <v>8</v>
      </c>
      <c r="N35" s="4" t="s">
        <v>201</v>
      </c>
      <c r="O35" s="4" t="s">
        <v>195</v>
      </c>
      <c r="P35" s="4"/>
      <c r="Q35" s="4"/>
      <c r="R35" s="4" t="s">
        <v>71</v>
      </c>
      <c r="S35" s="4"/>
      <c r="T35" s="4"/>
      <c r="U35" s="4" t="s">
        <v>196</v>
      </c>
    </row>
    <row r="36" customFormat="false" ht="15" hidden="false" customHeight="false" outlineLevel="0" collapsed="false">
      <c r="A36" s="4" t="s">
        <v>40</v>
      </c>
      <c r="B36" s="4" t="s">
        <v>208</v>
      </c>
      <c r="C36" s="4" t="s">
        <v>146</v>
      </c>
      <c r="D36" s="4" t="s">
        <v>209</v>
      </c>
      <c r="E36" s="4"/>
      <c r="F36" s="4"/>
      <c r="G36" s="4"/>
      <c r="H36" s="8" t="s">
        <v>143</v>
      </c>
      <c r="I36" s="4"/>
      <c r="J36" s="4"/>
      <c r="K36" s="4" t="n">
        <v>1</v>
      </c>
      <c r="L36" s="4" t="n">
        <v>9</v>
      </c>
      <c r="M36" s="4" t="n">
        <v>9</v>
      </c>
      <c r="N36" s="4"/>
      <c r="O36" s="4" t="s">
        <v>195</v>
      </c>
      <c r="P36" s="4"/>
      <c r="Q36" s="4"/>
      <c r="R36" s="4" t="s">
        <v>71</v>
      </c>
      <c r="S36" s="4"/>
      <c r="T36" s="4"/>
      <c r="U36" s="4" t="s">
        <v>196</v>
      </c>
    </row>
    <row r="37" customFormat="false" ht="15" hidden="false" customHeight="false" outlineLevel="0" collapsed="false">
      <c r="A37" s="4" t="s">
        <v>40</v>
      </c>
      <c r="B37" s="4" t="s">
        <v>210</v>
      </c>
      <c r="C37" s="4" t="s">
        <v>76</v>
      </c>
      <c r="D37" s="4" t="s">
        <v>211</v>
      </c>
      <c r="E37" s="4" t="s">
        <v>212</v>
      </c>
      <c r="F37" s="7" t="n">
        <v>37.029</v>
      </c>
      <c r="G37" s="7" t="n">
        <v>8.91581</v>
      </c>
      <c r="H37" s="8" t="s">
        <v>213</v>
      </c>
      <c r="I37" s="4"/>
      <c r="J37" s="4"/>
      <c r="K37" s="4" t="n">
        <v>1</v>
      </c>
      <c r="L37" s="4" t="n">
        <v>24</v>
      </c>
      <c r="M37" s="4" t="n">
        <v>24</v>
      </c>
      <c r="N37" s="4" t="s">
        <v>194</v>
      </c>
      <c r="O37" s="4" t="s">
        <v>214</v>
      </c>
      <c r="P37" s="4"/>
      <c r="Q37" s="4"/>
      <c r="R37" s="4" t="s">
        <v>71</v>
      </c>
      <c r="S37" s="4"/>
      <c r="T37" s="4"/>
      <c r="U37" s="4" t="s">
        <v>196</v>
      </c>
    </row>
    <row r="38" customFormat="false" ht="15" hidden="false" customHeight="false" outlineLevel="0" collapsed="false">
      <c r="A38" s="4" t="s">
        <v>40</v>
      </c>
      <c r="B38" s="4" t="s">
        <v>215</v>
      </c>
      <c r="C38" s="4" t="s">
        <v>76</v>
      </c>
      <c r="D38" s="4" t="s">
        <v>216</v>
      </c>
      <c r="E38" s="4" t="s">
        <v>217</v>
      </c>
      <c r="F38" s="4"/>
      <c r="G38" s="4"/>
      <c r="H38" s="8" t="s">
        <v>143</v>
      </c>
      <c r="I38" s="4"/>
      <c r="J38" s="4"/>
      <c r="K38" s="4" t="n">
        <v>1</v>
      </c>
      <c r="L38" s="4" t="n">
        <v>6</v>
      </c>
      <c r="M38" s="4" t="n">
        <v>6</v>
      </c>
      <c r="N38" s="4" t="s">
        <v>194</v>
      </c>
      <c r="O38" s="4" t="s">
        <v>214</v>
      </c>
      <c r="P38" s="4"/>
      <c r="Q38" s="4"/>
      <c r="R38" s="4" t="s">
        <v>71</v>
      </c>
      <c r="S38" s="4"/>
      <c r="T38" s="4"/>
      <c r="U38" s="4" t="s">
        <v>196</v>
      </c>
    </row>
    <row r="39" customFormat="false" ht="15" hidden="false" customHeight="false" outlineLevel="0" collapsed="false">
      <c r="A39" s="4" t="s">
        <v>40</v>
      </c>
      <c r="B39" s="4" t="s">
        <v>218</v>
      </c>
      <c r="C39" s="4" t="s">
        <v>76</v>
      </c>
      <c r="D39" s="4" t="s">
        <v>219</v>
      </c>
      <c r="E39" s="4" t="s">
        <v>220</v>
      </c>
      <c r="F39" s="4"/>
      <c r="G39" s="4"/>
      <c r="H39" s="8" t="s">
        <v>143</v>
      </c>
      <c r="I39" s="4"/>
      <c r="J39" s="4"/>
      <c r="K39" s="4" t="n">
        <v>1</v>
      </c>
      <c r="L39" s="4" t="n">
        <v>6</v>
      </c>
      <c r="M39" s="4" t="n">
        <v>6</v>
      </c>
      <c r="N39" s="4" t="s">
        <v>194</v>
      </c>
      <c r="O39" s="4" t="s">
        <v>214</v>
      </c>
      <c r="P39" s="4"/>
      <c r="Q39" s="4"/>
      <c r="R39" s="4" t="s">
        <v>71</v>
      </c>
      <c r="S39" s="4"/>
      <c r="T39" s="4"/>
      <c r="U39" s="4" t="s">
        <v>196</v>
      </c>
    </row>
    <row r="40" customFormat="false" ht="15" hidden="false" customHeight="false" outlineLevel="0" collapsed="false">
      <c r="A40" s="4" t="s">
        <v>40</v>
      </c>
      <c r="B40" s="4" t="s">
        <v>221</v>
      </c>
      <c r="C40" s="4" t="s">
        <v>65</v>
      </c>
      <c r="D40" s="4" t="s">
        <v>222</v>
      </c>
      <c r="E40" s="4" t="s">
        <v>223</v>
      </c>
      <c r="F40" s="7" t="n">
        <v>37.28572</v>
      </c>
      <c r="G40" s="7" t="n">
        <v>9.87166</v>
      </c>
      <c r="H40" s="8" t="s">
        <v>224</v>
      </c>
      <c r="I40" s="4"/>
      <c r="J40" s="4"/>
      <c r="K40" s="4" t="n">
        <v>1</v>
      </c>
      <c r="L40" s="4" t="n">
        <v>18</v>
      </c>
      <c r="M40" s="4" t="n">
        <v>14</v>
      </c>
      <c r="N40" s="4" t="s">
        <v>194</v>
      </c>
      <c r="O40" s="4" t="s">
        <v>214</v>
      </c>
      <c r="P40" s="4"/>
      <c r="Q40" s="4"/>
      <c r="R40" s="4" t="s">
        <v>71</v>
      </c>
      <c r="S40" s="4"/>
      <c r="T40" s="4"/>
      <c r="U40" s="4" t="s">
        <v>196</v>
      </c>
    </row>
    <row r="41" customFormat="false" ht="15" hidden="false" customHeight="false" outlineLevel="0" collapsed="false">
      <c r="A41" s="4" t="s">
        <v>40</v>
      </c>
      <c r="B41" s="4" t="s">
        <v>225</v>
      </c>
      <c r="C41" s="4" t="s">
        <v>65</v>
      </c>
      <c r="D41" s="4" t="s">
        <v>226</v>
      </c>
      <c r="E41" s="4" t="s">
        <v>227</v>
      </c>
      <c r="F41" s="7" t="n">
        <v>37.18559</v>
      </c>
      <c r="G41" s="7" t="n">
        <v>10.21723</v>
      </c>
      <c r="H41" s="8" t="s">
        <v>213</v>
      </c>
      <c r="I41" s="4"/>
      <c r="J41" s="4"/>
      <c r="K41" s="4" t="n">
        <v>1</v>
      </c>
      <c r="L41" s="4" t="n">
        <v>15</v>
      </c>
      <c r="M41" s="4" t="n">
        <v>17</v>
      </c>
      <c r="N41" s="4"/>
      <c r="O41" s="4" t="s">
        <v>214</v>
      </c>
      <c r="P41" s="4"/>
      <c r="Q41" s="4"/>
      <c r="R41" s="4" t="s">
        <v>71</v>
      </c>
      <c r="S41" s="4"/>
      <c r="T41" s="4"/>
      <c r="U41" s="4" t="s">
        <v>196</v>
      </c>
    </row>
    <row r="42" customFormat="false" ht="15" hidden="false" customHeight="false" outlineLevel="0" collapsed="false">
      <c r="A42" s="4" t="s">
        <v>40</v>
      </c>
      <c r="B42" s="4" t="s">
        <v>228</v>
      </c>
      <c r="C42" s="4" t="s">
        <v>65</v>
      </c>
      <c r="D42" s="4" t="s">
        <v>229</v>
      </c>
      <c r="E42" s="4" t="s">
        <v>230</v>
      </c>
      <c r="F42" s="7" t="n">
        <v>37.25874</v>
      </c>
      <c r="G42" s="7" t="n">
        <v>9.91018</v>
      </c>
      <c r="H42" s="8" t="s">
        <v>213</v>
      </c>
      <c r="I42" s="4"/>
      <c r="J42" s="4"/>
      <c r="K42" s="4" t="n">
        <v>1</v>
      </c>
      <c r="L42" s="4" t="n">
        <v>12</v>
      </c>
      <c r="M42" s="4" t="n">
        <v>14</v>
      </c>
      <c r="N42" s="4" t="s">
        <v>201</v>
      </c>
      <c r="O42" s="4" t="s">
        <v>214</v>
      </c>
      <c r="P42" s="4"/>
      <c r="Q42" s="4"/>
      <c r="R42" s="4" t="s">
        <v>71</v>
      </c>
      <c r="S42" s="4"/>
      <c r="T42" s="4"/>
      <c r="U42" s="4" t="s">
        <v>196</v>
      </c>
    </row>
    <row r="43" customFormat="false" ht="15" hidden="false" customHeight="false" outlineLevel="0" collapsed="false">
      <c r="A43" s="4" t="s">
        <v>40</v>
      </c>
      <c r="B43" s="4" t="s">
        <v>231</v>
      </c>
      <c r="C43" s="4" t="s">
        <v>65</v>
      </c>
      <c r="D43" s="4" t="s">
        <v>232</v>
      </c>
      <c r="E43" s="4" t="s">
        <v>233</v>
      </c>
      <c r="F43" s="4"/>
      <c r="G43" s="4"/>
      <c r="H43" s="8" t="s">
        <v>143</v>
      </c>
      <c r="I43" s="4"/>
      <c r="J43" s="4"/>
      <c r="K43" s="4" t="n">
        <v>1</v>
      </c>
      <c r="L43" s="4" t="n">
        <v>10</v>
      </c>
      <c r="M43" s="4" t="n">
        <v>10</v>
      </c>
      <c r="N43" s="4" t="s">
        <v>234</v>
      </c>
      <c r="O43" s="4" t="s">
        <v>214</v>
      </c>
      <c r="P43" s="4"/>
      <c r="Q43" s="4"/>
      <c r="R43" s="4" t="s">
        <v>71</v>
      </c>
      <c r="S43" s="4"/>
      <c r="T43" s="4"/>
      <c r="U43" s="4" t="s">
        <v>196</v>
      </c>
    </row>
    <row r="44" customFormat="false" ht="15" hidden="false" customHeight="false" outlineLevel="0" collapsed="false">
      <c r="A44" s="4" t="s">
        <v>40</v>
      </c>
      <c r="B44" s="4" t="s">
        <v>235</v>
      </c>
      <c r="C44" s="4" t="s">
        <v>65</v>
      </c>
      <c r="D44" s="4" t="s">
        <v>236</v>
      </c>
      <c r="E44" s="4" t="s">
        <v>237</v>
      </c>
      <c r="F44" s="7" t="n">
        <v>37.2649</v>
      </c>
      <c r="G44" s="7" t="n">
        <v>9.88547</v>
      </c>
      <c r="H44" s="8" t="s">
        <v>238</v>
      </c>
      <c r="I44" s="4"/>
      <c r="J44" s="4"/>
      <c r="K44" s="4" t="n">
        <v>1</v>
      </c>
      <c r="L44" s="4" t="n">
        <v>18</v>
      </c>
      <c r="M44" s="4" t="n">
        <v>15</v>
      </c>
      <c r="N44" s="4"/>
      <c r="O44" s="4" t="s">
        <v>214</v>
      </c>
      <c r="P44" s="4"/>
      <c r="Q44" s="4"/>
      <c r="R44" s="4" t="s">
        <v>71</v>
      </c>
      <c r="S44" s="4"/>
      <c r="T44" s="4"/>
      <c r="U44" s="4" t="s">
        <v>196</v>
      </c>
    </row>
    <row r="45" customFormat="false" ht="15" hidden="false" customHeight="false" outlineLevel="0" collapsed="false">
      <c r="A45" s="4" t="s">
        <v>40</v>
      </c>
      <c r="B45" s="4" t="s">
        <v>239</v>
      </c>
      <c r="C45" s="4" t="s">
        <v>65</v>
      </c>
      <c r="D45" s="4" t="s">
        <v>240</v>
      </c>
      <c r="E45" s="4" t="s">
        <v>241</v>
      </c>
      <c r="F45" s="7" t="n">
        <v>37.24053</v>
      </c>
      <c r="G45" s="7" t="n">
        <v>10.09586</v>
      </c>
      <c r="H45" s="8" t="s">
        <v>213</v>
      </c>
      <c r="I45" s="4"/>
      <c r="J45" s="4"/>
      <c r="K45" s="4" t="n">
        <v>1</v>
      </c>
      <c r="L45" s="4" t="n">
        <v>18</v>
      </c>
      <c r="M45" s="4" t="n">
        <v>17</v>
      </c>
      <c r="N45" s="4"/>
      <c r="O45" s="4" t="s">
        <v>214</v>
      </c>
      <c r="P45" s="4"/>
      <c r="Q45" s="4"/>
      <c r="R45" s="4" t="s">
        <v>71</v>
      </c>
      <c r="S45" s="4"/>
      <c r="T45" s="4"/>
      <c r="U45" s="4" t="s">
        <v>196</v>
      </c>
    </row>
    <row r="46" customFormat="false" ht="15" hidden="false" customHeight="false" outlineLevel="0" collapsed="false">
      <c r="A46" s="4" t="s">
        <v>40</v>
      </c>
      <c r="B46" s="4" t="s">
        <v>242</v>
      </c>
      <c r="C46" s="4" t="s">
        <v>65</v>
      </c>
      <c r="D46" s="4" t="s">
        <v>243</v>
      </c>
      <c r="E46" s="4" t="s">
        <v>244</v>
      </c>
      <c r="F46" s="7" t="n">
        <v>37.16968</v>
      </c>
      <c r="G46" s="7" t="n">
        <v>10.19166</v>
      </c>
      <c r="H46" s="8" t="s">
        <v>101</v>
      </c>
      <c r="I46" s="4"/>
      <c r="J46" s="4"/>
      <c r="K46" s="4" t="n">
        <v>1</v>
      </c>
      <c r="L46" s="4" t="n">
        <v>19</v>
      </c>
      <c r="M46" s="4" t="n">
        <v>8</v>
      </c>
      <c r="N46" s="4" t="s">
        <v>194</v>
      </c>
      <c r="O46" s="4" t="s">
        <v>214</v>
      </c>
      <c r="P46" s="4"/>
      <c r="Q46" s="4"/>
      <c r="R46" s="4" t="s">
        <v>71</v>
      </c>
      <c r="S46" s="4"/>
      <c r="T46" s="4"/>
      <c r="U46" s="4" t="s">
        <v>196</v>
      </c>
    </row>
    <row r="47" customFormat="false" ht="15" hidden="false" customHeight="false" outlineLevel="0" collapsed="false">
      <c r="A47" s="4" t="s">
        <v>40</v>
      </c>
      <c r="B47" s="4" t="s">
        <v>245</v>
      </c>
      <c r="C47" s="4" t="s">
        <v>65</v>
      </c>
      <c r="D47" s="4" t="s">
        <v>243</v>
      </c>
      <c r="E47" s="4" t="s">
        <v>246</v>
      </c>
      <c r="F47" s="7" t="n">
        <v>37.16968</v>
      </c>
      <c r="G47" s="7" t="n">
        <v>10.19166</v>
      </c>
      <c r="H47" s="8" t="s">
        <v>101</v>
      </c>
      <c r="I47" s="4"/>
      <c r="J47" s="4"/>
      <c r="K47" s="4" t="n">
        <v>1</v>
      </c>
      <c r="L47" s="4" t="n">
        <v>19</v>
      </c>
      <c r="M47" s="4" t="n">
        <v>8</v>
      </c>
      <c r="N47" s="4" t="s">
        <v>194</v>
      </c>
      <c r="O47" s="4" t="s">
        <v>214</v>
      </c>
      <c r="P47" s="4"/>
      <c r="Q47" s="4"/>
      <c r="R47" s="4" t="s">
        <v>71</v>
      </c>
      <c r="S47" s="4"/>
      <c r="T47" s="4"/>
      <c r="U47" s="4" t="s">
        <v>196</v>
      </c>
    </row>
    <row r="48" customFormat="false" ht="15" hidden="false" customHeight="false" outlineLevel="0" collapsed="false">
      <c r="A48" s="4" t="s">
        <v>40</v>
      </c>
      <c r="B48" s="4" t="s">
        <v>247</v>
      </c>
      <c r="C48" s="4" t="s">
        <v>65</v>
      </c>
      <c r="D48" s="4" t="s">
        <v>248</v>
      </c>
      <c r="E48" s="4" t="s">
        <v>249</v>
      </c>
      <c r="F48" s="7" t="n">
        <v>37.16164</v>
      </c>
      <c r="G48" s="7" t="n">
        <v>9.12503</v>
      </c>
      <c r="H48" s="8" t="s">
        <v>250</v>
      </c>
      <c r="I48" s="4"/>
      <c r="J48" s="4"/>
      <c r="K48" s="4" t="n">
        <v>1</v>
      </c>
      <c r="L48" s="4" t="n">
        <v>42</v>
      </c>
      <c r="M48" s="4" t="n">
        <v>35</v>
      </c>
      <c r="N48" s="4"/>
      <c r="O48" s="4" t="s">
        <v>214</v>
      </c>
      <c r="P48" s="4"/>
      <c r="Q48" s="4"/>
      <c r="R48" s="4" t="s">
        <v>71</v>
      </c>
      <c r="S48" s="4"/>
      <c r="T48" s="4"/>
      <c r="U48" s="4" t="s">
        <v>196</v>
      </c>
    </row>
    <row r="49" customFormat="false" ht="15" hidden="false" customHeight="false" outlineLevel="0" collapsed="false">
      <c r="A49" s="4" t="s">
        <v>40</v>
      </c>
      <c r="B49" s="4" t="s">
        <v>251</v>
      </c>
      <c r="C49" s="4" t="s">
        <v>65</v>
      </c>
      <c r="D49" s="4" t="s">
        <v>252</v>
      </c>
      <c r="E49" s="4" t="s">
        <v>253</v>
      </c>
      <c r="F49" s="7" t="n">
        <v>37.34685</v>
      </c>
      <c r="G49" s="7" t="n">
        <v>9.74231</v>
      </c>
      <c r="H49" s="8" t="s">
        <v>254</v>
      </c>
      <c r="I49" s="4"/>
      <c r="J49" s="4"/>
      <c r="K49" s="4" t="n">
        <v>1</v>
      </c>
      <c r="L49" s="4" t="n">
        <v>14</v>
      </c>
      <c r="M49" s="4" t="n">
        <v>12</v>
      </c>
      <c r="N49" s="4"/>
      <c r="O49" s="4" t="s">
        <v>214</v>
      </c>
      <c r="P49" s="4"/>
      <c r="Q49" s="4"/>
      <c r="R49" s="4" t="s">
        <v>71</v>
      </c>
      <c r="S49" s="4"/>
      <c r="T49" s="4"/>
      <c r="U49" s="4" t="s">
        <v>196</v>
      </c>
    </row>
    <row r="50" customFormat="false" ht="15" hidden="false" customHeight="false" outlineLevel="0" collapsed="false">
      <c r="A50" s="4" t="s">
        <v>40</v>
      </c>
      <c r="B50" s="4" t="s">
        <v>255</v>
      </c>
      <c r="C50" s="4" t="s">
        <v>256</v>
      </c>
      <c r="D50" s="4" t="s">
        <v>257</v>
      </c>
      <c r="E50" s="4" t="s">
        <v>258</v>
      </c>
      <c r="F50" s="7" t="n">
        <v>36.96337</v>
      </c>
      <c r="G50" s="7" t="n">
        <v>10.22632</v>
      </c>
      <c r="H50" s="8" t="s">
        <v>213</v>
      </c>
      <c r="I50" s="4"/>
      <c r="J50" s="4"/>
      <c r="K50" s="4" t="n">
        <v>4</v>
      </c>
      <c r="L50" s="4" t="n">
        <v>50</v>
      </c>
      <c r="M50" s="4" t="n">
        <v>40</v>
      </c>
      <c r="N50" s="4" t="s">
        <v>194</v>
      </c>
      <c r="O50" s="4" t="s">
        <v>214</v>
      </c>
      <c r="P50" s="4"/>
      <c r="Q50" s="4"/>
      <c r="R50" s="4" t="s">
        <v>71</v>
      </c>
      <c r="S50" s="4"/>
      <c r="T50" s="4"/>
      <c r="U50" s="4" t="s">
        <v>196</v>
      </c>
    </row>
    <row r="51" customFormat="false" ht="15" hidden="false" customHeight="false" outlineLevel="0" collapsed="false">
      <c r="A51" s="4" t="s">
        <v>40</v>
      </c>
      <c r="B51" s="4" t="s">
        <v>259</v>
      </c>
      <c r="C51" s="4" t="s">
        <v>256</v>
      </c>
      <c r="D51" s="4" t="s">
        <v>260</v>
      </c>
      <c r="E51" s="4" t="s">
        <v>261</v>
      </c>
      <c r="F51" s="7" t="n">
        <v>37.06245</v>
      </c>
      <c r="G51" s="7" t="n">
        <v>10.11815</v>
      </c>
      <c r="H51" s="8" t="s">
        <v>117</v>
      </c>
      <c r="I51" s="4"/>
      <c r="J51" s="4"/>
      <c r="K51" s="4" t="n">
        <v>4</v>
      </c>
      <c r="L51" s="4" t="n">
        <v>50</v>
      </c>
      <c r="M51" s="4" t="n">
        <v>46</v>
      </c>
      <c r="N51" s="4" t="s">
        <v>194</v>
      </c>
      <c r="O51" s="4" t="s">
        <v>214</v>
      </c>
      <c r="P51" s="4"/>
      <c r="Q51" s="4"/>
      <c r="R51" s="4" t="s">
        <v>71</v>
      </c>
      <c r="S51" s="4"/>
      <c r="T51" s="4"/>
      <c r="U51" s="4" t="s">
        <v>196</v>
      </c>
    </row>
    <row r="52" customFormat="false" ht="15" hidden="false" customHeight="false" outlineLevel="0" collapsed="false">
      <c r="A52" s="4" t="s">
        <v>40</v>
      </c>
      <c r="B52" s="4" t="s">
        <v>262</v>
      </c>
      <c r="C52" s="4" t="s">
        <v>263</v>
      </c>
      <c r="D52" s="4" t="s">
        <v>264</v>
      </c>
      <c r="E52" s="4" t="s">
        <v>265</v>
      </c>
      <c r="F52" s="7" t="n">
        <v>35.82883</v>
      </c>
      <c r="G52" s="7" t="n">
        <v>10.64053</v>
      </c>
      <c r="H52" s="8" t="s">
        <v>124</v>
      </c>
      <c r="I52" s="4"/>
      <c r="J52" s="4"/>
      <c r="K52" s="4" t="n">
        <v>1</v>
      </c>
      <c r="L52" s="4" t="n">
        <v>40</v>
      </c>
      <c r="M52" s="4" t="n">
        <v>40</v>
      </c>
      <c r="N52" s="4" t="s">
        <v>201</v>
      </c>
      <c r="O52" s="4" t="s">
        <v>195</v>
      </c>
      <c r="P52" s="4"/>
      <c r="Q52" s="4"/>
      <c r="R52" s="4" t="s">
        <v>71</v>
      </c>
      <c r="S52" s="4"/>
      <c r="T52" s="4"/>
      <c r="U52" s="4" t="s">
        <v>196</v>
      </c>
    </row>
    <row r="53" customFormat="false" ht="15" hidden="false" customHeight="false" outlineLevel="0" collapsed="false">
      <c r="A53" s="4" t="s">
        <v>40</v>
      </c>
      <c r="B53" s="4" t="s">
        <v>266</v>
      </c>
      <c r="C53" s="4" t="s">
        <v>263</v>
      </c>
      <c r="D53" s="4" t="s">
        <v>267</v>
      </c>
      <c r="E53" s="4" t="s">
        <v>268</v>
      </c>
      <c r="F53" s="7" t="n">
        <v>35.86573</v>
      </c>
      <c r="G53" s="7" t="n">
        <v>10.56784</v>
      </c>
      <c r="H53" s="8" t="s">
        <v>101</v>
      </c>
      <c r="I53" s="4"/>
      <c r="J53" s="4"/>
      <c r="K53" s="4" t="n">
        <v>1</v>
      </c>
      <c r="L53" s="4" t="n">
        <v>30</v>
      </c>
      <c r="M53" s="4" t="n">
        <v>30</v>
      </c>
      <c r="N53" s="4" t="s">
        <v>201</v>
      </c>
      <c r="O53" s="4" t="s">
        <v>195</v>
      </c>
      <c r="P53" s="4"/>
      <c r="Q53" s="4"/>
      <c r="R53" s="4" t="s">
        <v>71</v>
      </c>
      <c r="S53" s="4"/>
      <c r="T53" s="4"/>
      <c r="U53" s="4" t="s">
        <v>196</v>
      </c>
    </row>
    <row r="54" customFormat="false" ht="15" hidden="false" customHeight="false" outlineLevel="0" collapsed="false">
      <c r="A54" s="4" t="s">
        <v>40</v>
      </c>
      <c r="B54" s="4" t="s">
        <v>269</v>
      </c>
      <c r="C54" s="4" t="s">
        <v>263</v>
      </c>
      <c r="D54" s="4" t="s">
        <v>267</v>
      </c>
      <c r="E54" s="4" t="s">
        <v>270</v>
      </c>
      <c r="F54" s="7" t="n">
        <v>35.86573</v>
      </c>
      <c r="G54" s="7" t="n">
        <v>10.56784</v>
      </c>
      <c r="H54" s="8" t="s">
        <v>101</v>
      </c>
      <c r="I54" s="4"/>
      <c r="J54" s="4"/>
      <c r="K54" s="4" t="n">
        <v>1</v>
      </c>
      <c r="L54" s="4" t="n">
        <v>30</v>
      </c>
      <c r="M54" s="4" t="n">
        <v>30</v>
      </c>
      <c r="N54" s="4" t="s">
        <v>201</v>
      </c>
      <c r="O54" s="4" t="s">
        <v>195</v>
      </c>
      <c r="P54" s="4"/>
      <c r="Q54" s="4"/>
      <c r="R54" s="4" t="s">
        <v>71</v>
      </c>
      <c r="S54" s="4"/>
      <c r="T54" s="4"/>
      <c r="U54" s="4" t="s">
        <v>196</v>
      </c>
    </row>
    <row r="55" customFormat="false" ht="15" hidden="false" customHeight="false" outlineLevel="0" collapsed="false">
      <c r="A55" s="4" t="s">
        <v>40</v>
      </c>
      <c r="B55" s="4" t="s">
        <v>271</v>
      </c>
      <c r="C55" s="4" t="s">
        <v>263</v>
      </c>
      <c r="D55" s="4" t="s">
        <v>272</v>
      </c>
      <c r="E55" s="4" t="s">
        <v>273</v>
      </c>
      <c r="F55" s="4"/>
      <c r="G55" s="4"/>
      <c r="H55" s="8" t="s">
        <v>143</v>
      </c>
      <c r="I55" s="4"/>
      <c r="J55" s="4"/>
      <c r="K55" s="4" t="n">
        <v>2</v>
      </c>
      <c r="L55" s="4" t="n">
        <v>40</v>
      </c>
      <c r="M55" s="4" t="n">
        <v>40</v>
      </c>
      <c r="N55" s="4" t="s">
        <v>201</v>
      </c>
      <c r="O55" s="4" t="s">
        <v>195</v>
      </c>
      <c r="P55" s="4"/>
      <c r="Q55" s="4"/>
      <c r="R55" s="4" t="s">
        <v>71</v>
      </c>
      <c r="S55" s="4"/>
      <c r="T55" s="4"/>
      <c r="U55" s="4" t="s">
        <v>196</v>
      </c>
    </row>
    <row r="56" customFormat="false" ht="15" hidden="false" customHeight="false" outlineLevel="0" collapsed="false">
      <c r="A56" s="4" t="s">
        <v>40</v>
      </c>
      <c r="B56" s="4" t="s">
        <v>274</v>
      </c>
      <c r="C56" s="4" t="s">
        <v>263</v>
      </c>
      <c r="D56" s="4" t="s">
        <v>272</v>
      </c>
      <c r="E56" s="4" t="s">
        <v>275</v>
      </c>
      <c r="F56" s="4"/>
      <c r="G56" s="4"/>
      <c r="H56" s="8" t="s">
        <v>143</v>
      </c>
      <c r="I56" s="4"/>
      <c r="J56" s="4"/>
      <c r="K56" s="4" t="n">
        <v>2</v>
      </c>
      <c r="L56" s="4" t="n">
        <v>40</v>
      </c>
      <c r="M56" s="4" t="n">
        <v>40</v>
      </c>
      <c r="N56" s="4" t="s">
        <v>201</v>
      </c>
      <c r="O56" s="4" t="s">
        <v>195</v>
      </c>
      <c r="P56" s="4"/>
      <c r="Q56" s="4"/>
      <c r="R56" s="4" t="s">
        <v>71</v>
      </c>
      <c r="S56" s="4"/>
      <c r="T56" s="4"/>
      <c r="U56" s="4" t="s">
        <v>196</v>
      </c>
    </row>
    <row r="57" customFormat="false" ht="15" hidden="false" customHeight="false" outlineLevel="0" collapsed="false">
      <c r="A57" s="4" t="s">
        <v>40</v>
      </c>
      <c r="B57" s="4" t="s">
        <v>276</v>
      </c>
      <c r="C57" s="4" t="s">
        <v>263</v>
      </c>
      <c r="D57" s="4" t="s">
        <v>272</v>
      </c>
      <c r="E57" s="4" t="s">
        <v>277</v>
      </c>
      <c r="F57" s="4"/>
      <c r="G57" s="4"/>
      <c r="H57" s="8" t="s">
        <v>143</v>
      </c>
      <c r="I57" s="4"/>
      <c r="J57" s="4"/>
      <c r="K57" s="4" t="n">
        <v>2</v>
      </c>
      <c r="L57" s="4" t="n">
        <v>40</v>
      </c>
      <c r="M57" s="4" t="n">
        <v>40</v>
      </c>
      <c r="N57" s="4" t="s">
        <v>201</v>
      </c>
      <c r="O57" s="4" t="s">
        <v>195</v>
      </c>
      <c r="P57" s="4"/>
      <c r="Q57" s="4"/>
      <c r="R57" s="4" t="s">
        <v>71</v>
      </c>
      <c r="S57" s="4"/>
      <c r="T57" s="4"/>
      <c r="U57" s="4" t="s">
        <v>196</v>
      </c>
    </row>
    <row r="58" customFormat="false" ht="15" hidden="false" customHeight="false" outlineLevel="0" collapsed="false">
      <c r="A58" s="4" t="s">
        <v>40</v>
      </c>
      <c r="B58" s="4" t="s">
        <v>278</v>
      </c>
      <c r="C58" s="4" t="s">
        <v>263</v>
      </c>
      <c r="D58" s="4" t="s">
        <v>279</v>
      </c>
      <c r="E58" s="4" t="s">
        <v>280</v>
      </c>
      <c r="F58" s="7" t="n">
        <v>35.95635</v>
      </c>
      <c r="G58" s="7" t="n">
        <v>10.4704</v>
      </c>
      <c r="H58" s="8" t="s">
        <v>101</v>
      </c>
      <c r="I58" s="4"/>
      <c r="J58" s="4"/>
      <c r="K58" s="4" t="n">
        <v>1</v>
      </c>
      <c r="L58" s="4" t="n">
        <v>13</v>
      </c>
      <c r="M58" s="4" t="n">
        <v>13</v>
      </c>
      <c r="N58" s="4" t="s">
        <v>201</v>
      </c>
      <c r="O58" s="4" t="s">
        <v>195</v>
      </c>
      <c r="P58" s="4"/>
      <c r="Q58" s="4"/>
      <c r="R58" s="4" t="s">
        <v>71</v>
      </c>
      <c r="S58" s="4"/>
      <c r="T58" s="4"/>
      <c r="U58" s="4" t="s">
        <v>196</v>
      </c>
    </row>
    <row r="59" customFormat="false" ht="15" hidden="false" customHeight="false" outlineLevel="0" collapsed="false">
      <c r="A59" s="4" t="s">
        <v>40</v>
      </c>
      <c r="B59" s="4" t="s">
        <v>281</v>
      </c>
      <c r="C59" s="4" t="s">
        <v>263</v>
      </c>
      <c r="D59" s="4" t="s">
        <v>282</v>
      </c>
      <c r="E59" s="4" t="s">
        <v>283</v>
      </c>
      <c r="F59" s="7" t="n">
        <v>35.82883</v>
      </c>
      <c r="G59" s="7" t="n">
        <v>10.64053</v>
      </c>
      <c r="H59" s="8" t="s">
        <v>124</v>
      </c>
      <c r="I59" s="4"/>
      <c r="J59" s="4"/>
      <c r="K59" s="4" t="n">
        <v>2</v>
      </c>
      <c r="L59" s="4" t="n">
        <v>30</v>
      </c>
      <c r="M59" s="4" t="n">
        <v>30</v>
      </c>
      <c r="N59" s="4" t="s">
        <v>201</v>
      </c>
      <c r="O59" s="4" t="s">
        <v>195</v>
      </c>
      <c r="P59" s="4"/>
      <c r="Q59" s="4"/>
      <c r="R59" s="4" t="s">
        <v>71</v>
      </c>
      <c r="S59" s="4"/>
      <c r="T59" s="4"/>
      <c r="U59" s="4" t="s">
        <v>196</v>
      </c>
    </row>
    <row r="60" customFormat="false" ht="15" hidden="false" customHeight="false" outlineLevel="0" collapsed="false">
      <c r="A60" s="4" t="s">
        <v>40</v>
      </c>
      <c r="B60" s="4" t="s">
        <v>284</v>
      </c>
      <c r="C60" s="4" t="s">
        <v>263</v>
      </c>
      <c r="D60" s="4" t="s">
        <v>282</v>
      </c>
      <c r="E60" s="4" t="s">
        <v>285</v>
      </c>
      <c r="F60" s="7" t="n">
        <v>35.82883</v>
      </c>
      <c r="G60" s="7" t="n">
        <v>10.64053</v>
      </c>
      <c r="H60" s="8" t="s">
        <v>124</v>
      </c>
      <c r="I60" s="4"/>
      <c r="J60" s="4"/>
      <c r="K60" s="4" t="n">
        <v>2</v>
      </c>
      <c r="L60" s="4" t="n">
        <v>20</v>
      </c>
      <c r="M60" s="4" t="n">
        <v>17</v>
      </c>
      <c r="N60" s="4" t="s">
        <v>286</v>
      </c>
      <c r="O60" s="4" t="s">
        <v>195</v>
      </c>
      <c r="P60" s="4"/>
      <c r="Q60" s="4"/>
      <c r="R60" s="4" t="s">
        <v>71</v>
      </c>
      <c r="S60" s="4"/>
      <c r="T60" s="4"/>
      <c r="U60" s="4" t="s">
        <v>196</v>
      </c>
    </row>
    <row r="61" customFormat="false" ht="15" hidden="false" customHeight="false" outlineLevel="0" collapsed="false">
      <c r="A61" s="4" t="s">
        <v>40</v>
      </c>
      <c r="B61" s="4" t="s">
        <v>287</v>
      </c>
      <c r="C61" s="4" t="s">
        <v>263</v>
      </c>
      <c r="D61" s="4" t="s">
        <v>282</v>
      </c>
      <c r="E61" s="4" t="s">
        <v>288</v>
      </c>
      <c r="F61" s="7" t="n">
        <v>35.82883</v>
      </c>
      <c r="G61" s="7" t="n">
        <v>10.64053</v>
      </c>
      <c r="H61" s="8" t="s">
        <v>124</v>
      </c>
      <c r="I61" s="4"/>
      <c r="J61" s="4"/>
      <c r="K61" s="4" t="n">
        <v>2</v>
      </c>
      <c r="L61" s="4" t="n">
        <v>20</v>
      </c>
      <c r="M61" s="4" t="n">
        <v>17</v>
      </c>
      <c r="N61" s="4" t="s">
        <v>286</v>
      </c>
      <c r="O61" s="4" t="s">
        <v>195</v>
      </c>
      <c r="P61" s="4"/>
      <c r="Q61" s="4"/>
      <c r="R61" s="4" t="s">
        <v>71</v>
      </c>
      <c r="S61" s="4"/>
      <c r="T61" s="4"/>
      <c r="U61" s="4" t="s">
        <v>196</v>
      </c>
    </row>
    <row r="62" customFormat="false" ht="15" hidden="false" customHeight="false" outlineLevel="0" collapsed="false">
      <c r="A62" s="4" t="s">
        <v>40</v>
      </c>
      <c r="B62" s="4" t="s">
        <v>289</v>
      </c>
      <c r="C62" s="4" t="s">
        <v>263</v>
      </c>
      <c r="D62" s="4" t="s">
        <v>282</v>
      </c>
      <c r="E62" s="4" t="s">
        <v>290</v>
      </c>
      <c r="F62" s="7" t="n">
        <v>35.82883</v>
      </c>
      <c r="G62" s="7" t="n">
        <v>10.64053</v>
      </c>
      <c r="H62" s="8" t="s">
        <v>124</v>
      </c>
      <c r="I62" s="4"/>
      <c r="J62" s="4"/>
      <c r="K62" s="4" t="n">
        <v>2</v>
      </c>
      <c r="L62" s="4" t="n">
        <v>30</v>
      </c>
      <c r="M62" s="4" t="n">
        <v>27</v>
      </c>
      <c r="N62" s="4" t="s">
        <v>201</v>
      </c>
      <c r="O62" s="4" t="s">
        <v>195</v>
      </c>
      <c r="P62" s="4"/>
      <c r="Q62" s="4"/>
      <c r="R62" s="4" t="s">
        <v>71</v>
      </c>
      <c r="S62" s="4"/>
      <c r="T62" s="4"/>
      <c r="U62" s="4" t="s">
        <v>196</v>
      </c>
    </row>
    <row r="63" customFormat="false" ht="15" hidden="false" customHeight="false" outlineLevel="0" collapsed="false">
      <c r="A63" s="4" t="s">
        <v>40</v>
      </c>
      <c r="B63" s="4" t="s">
        <v>291</v>
      </c>
      <c r="C63" s="4" t="s">
        <v>263</v>
      </c>
      <c r="D63" s="4" t="s">
        <v>282</v>
      </c>
      <c r="E63" s="4" t="s">
        <v>292</v>
      </c>
      <c r="F63" s="7" t="n">
        <v>35.82883</v>
      </c>
      <c r="G63" s="7" t="n">
        <v>10.64053</v>
      </c>
      <c r="H63" s="8" t="s">
        <v>124</v>
      </c>
      <c r="I63" s="4"/>
      <c r="J63" s="4"/>
      <c r="K63" s="4" t="n">
        <v>2</v>
      </c>
      <c r="L63" s="4" t="n">
        <v>30</v>
      </c>
      <c r="M63" s="4" t="n">
        <v>27</v>
      </c>
      <c r="N63" s="4" t="s">
        <v>201</v>
      </c>
      <c r="O63" s="4" t="s">
        <v>195</v>
      </c>
      <c r="P63" s="4"/>
      <c r="Q63" s="4"/>
      <c r="R63" s="4" t="s">
        <v>71</v>
      </c>
      <c r="S63" s="4"/>
      <c r="T63" s="4"/>
      <c r="U63" s="4" t="s">
        <v>196</v>
      </c>
    </row>
    <row r="64" customFormat="false" ht="15" hidden="false" customHeight="false" outlineLevel="0" collapsed="false">
      <c r="A64" s="4" t="s">
        <v>40</v>
      </c>
      <c r="B64" s="4" t="s">
        <v>293</v>
      </c>
      <c r="C64" s="4" t="s">
        <v>263</v>
      </c>
      <c r="D64" s="4" t="s">
        <v>282</v>
      </c>
      <c r="E64" s="4" t="s">
        <v>294</v>
      </c>
      <c r="F64" s="7" t="n">
        <v>35.82883</v>
      </c>
      <c r="G64" s="7" t="n">
        <v>10.64053</v>
      </c>
      <c r="H64" s="8" t="s">
        <v>124</v>
      </c>
      <c r="I64" s="4"/>
      <c r="J64" s="4"/>
      <c r="K64" s="4" t="n">
        <v>2</v>
      </c>
      <c r="L64" s="4" t="n">
        <v>20</v>
      </c>
      <c r="M64" s="4" t="n">
        <v>20</v>
      </c>
      <c r="N64" s="4" t="s">
        <v>201</v>
      </c>
      <c r="O64" s="4" t="s">
        <v>195</v>
      </c>
      <c r="P64" s="4"/>
      <c r="Q64" s="4"/>
      <c r="R64" s="4" t="s">
        <v>71</v>
      </c>
      <c r="S64" s="4"/>
      <c r="T64" s="4"/>
      <c r="U64" s="4" t="s">
        <v>196</v>
      </c>
    </row>
    <row r="65" customFormat="false" ht="15" hidden="false" customHeight="false" outlineLevel="0" collapsed="false">
      <c r="A65" s="4" t="s">
        <v>40</v>
      </c>
      <c r="B65" s="4" t="s">
        <v>295</v>
      </c>
      <c r="C65" s="4" t="s">
        <v>263</v>
      </c>
      <c r="D65" s="4" t="s">
        <v>296</v>
      </c>
      <c r="E65" s="4" t="s">
        <v>297</v>
      </c>
      <c r="F65" s="7" t="n">
        <v>36.13412</v>
      </c>
      <c r="G65" s="7" t="n">
        <v>10.37799</v>
      </c>
      <c r="H65" s="8" t="s">
        <v>298</v>
      </c>
      <c r="I65" s="4"/>
      <c r="J65" s="4"/>
      <c r="K65" s="4" t="n">
        <v>1</v>
      </c>
      <c r="L65" s="4" t="n">
        <v>28</v>
      </c>
      <c r="M65" s="4" t="n">
        <v>11</v>
      </c>
      <c r="N65" s="4" t="s">
        <v>201</v>
      </c>
      <c r="O65" s="4" t="s">
        <v>195</v>
      </c>
      <c r="P65" s="4"/>
      <c r="Q65" s="4"/>
      <c r="R65" s="4" t="s">
        <v>71</v>
      </c>
      <c r="S65" s="4"/>
      <c r="T65" s="4"/>
      <c r="U65" s="4" t="s">
        <v>196</v>
      </c>
    </row>
    <row r="66" customFormat="false" ht="15" hidden="false" customHeight="false" outlineLevel="0" collapsed="false">
      <c r="A66" s="4" t="s">
        <v>40</v>
      </c>
      <c r="B66" s="4" t="s">
        <v>299</v>
      </c>
      <c r="C66" s="4" t="s">
        <v>263</v>
      </c>
      <c r="D66" s="4" t="s">
        <v>300</v>
      </c>
      <c r="E66" s="4" t="s">
        <v>301</v>
      </c>
      <c r="F66" s="7" t="n">
        <v>36.2312</v>
      </c>
      <c r="G66" s="7" t="n">
        <v>10.42119</v>
      </c>
      <c r="H66" s="8" t="s">
        <v>238</v>
      </c>
      <c r="I66" s="4"/>
      <c r="J66" s="4"/>
      <c r="K66" s="4" t="n">
        <v>1</v>
      </c>
      <c r="L66" s="4" t="n">
        <v>30</v>
      </c>
      <c r="M66" s="4" t="n">
        <v>20</v>
      </c>
      <c r="N66" s="4" t="s">
        <v>201</v>
      </c>
      <c r="O66" s="4" t="s">
        <v>195</v>
      </c>
      <c r="P66" s="4"/>
      <c r="Q66" s="4"/>
      <c r="R66" s="4" t="s">
        <v>71</v>
      </c>
      <c r="S66" s="4"/>
      <c r="T66" s="4"/>
      <c r="U66" s="4" t="s">
        <v>196</v>
      </c>
    </row>
    <row r="67" customFormat="false" ht="15" hidden="false" customHeight="false" outlineLevel="0" collapsed="false">
      <c r="A67" s="4" t="s">
        <v>40</v>
      </c>
      <c r="B67" s="4" t="s">
        <v>302</v>
      </c>
      <c r="C67" s="4" t="s">
        <v>263</v>
      </c>
      <c r="D67" s="4" t="s">
        <v>303</v>
      </c>
      <c r="E67" s="4" t="s">
        <v>304</v>
      </c>
      <c r="F67" s="7" t="n">
        <v>36.03172</v>
      </c>
      <c r="G67" s="7" t="n">
        <v>10.50648</v>
      </c>
      <c r="H67" s="8" t="s">
        <v>101</v>
      </c>
      <c r="I67" s="4"/>
      <c r="J67" s="4"/>
      <c r="K67" s="4" t="n">
        <v>1</v>
      </c>
      <c r="L67" s="4" t="n">
        <v>15</v>
      </c>
      <c r="M67" s="4" t="n">
        <v>15</v>
      </c>
      <c r="N67" s="4" t="s">
        <v>201</v>
      </c>
      <c r="O67" s="4" t="s">
        <v>195</v>
      </c>
      <c r="P67" s="4"/>
      <c r="Q67" s="4"/>
      <c r="R67" s="4" t="s">
        <v>71</v>
      </c>
      <c r="S67" s="4"/>
      <c r="T67" s="4"/>
      <c r="U67" s="4" t="s">
        <v>196</v>
      </c>
    </row>
    <row r="68" customFormat="false" ht="15" hidden="false" customHeight="false" outlineLevel="0" collapsed="false">
      <c r="A68" s="4" t="s">
        <v>40</v>
      </c>
      <c r="B68" s="4" t="s">
        <v>305</v>
      </c>
      <c r="C68" s="4" t="s">
        <v>79</v>
      </c>
      <c r="D68" s="4" t="s">
        <v>306</v>
      </c>
      <c r="E68" s="4" t="s">
        <v>307</v>
      </c>
      <c r="F68" s="4"/>
      <c r="G68" s="4"/>
      <c r="H68" s="8" t="s">
        <v>143</v>
      </c>
      <c r="I68" s="4"/>
      <c r="J68" s="4"/>
      <c r="K68" s="4" t="n">
        <v>1</v>
      </c>
      <c r="L68" s="4" t="n">
        <v>12</v>
      </c>
      <c r="M68" s="4" t="n">
        <v>5</v>
      </c>
      <c r="N68" s="4" t="s">
        <v>308</v>
      </c>
      <c r="O68" s="4" t="s">
        <v>309</v>
      </c>
      <c r="P68" s="4"/>
      <c r="Q68" s="4"/>
      <c r="R68" s="4" t="s">
        <v>71</v>
      </c>
      <c r="S68" s="4"/>
      <c r="T68" s="4"/>
      <c r="U68" s="4" t="s">
        <v>196</v>
      </c>
    </row>
    <row r="69" customFormat="false" ht="15" hidden="false" customHeight="false" outlineLevel="0" collapsed="false">
      <c r="A69" s="4" t="s">
        <v>40</v>
      </c>
      <c r="B69" s="4" t="s">
        <v>310</v>
      </c>
      <c r="C69" s="4" t="s">
        <v>79</v>
      </c>
      <c r="D69" s="4" t="s">
        <v>311</v>
      </c>
      <c r="E69" s="4" t="s">
        <v>312</v>
      </c>
      <c r="F69" s="7" t="n">
        <v>35.50364</v>
      </c>
      <c r="G69" s="7" t="n">
        <v>11.06824</v>
      </c>
      <c r="H69" s="8" t="s">
        <v>124</v>
      </c>
      <c r="I69" s="4"/>
      <c r="J69" s="4"/>
      <c r="K69" s="4" t="n">
        <v>1</v>
      </c>
      <c r="L69" s="4" t="n">
        <v>20</v>
      </c>
      <c r="M69" s="4" t="n">
        <v>19</v>
      </c>
      <c r="N69" s="4" t="s">
        <v>201</v>
      </c>
      <c r="O69" s="4" t="s">
        <v>309</v>
      </c>
      <c r="P69" s="4"/>
      <c r="Q69" s="4"/>
      <c r="R69" s="4" t="s">
        <v>71</v>
      </c>
      <c r="S69" s="4"/>
      <c r="T69" s="4"/>
      <c r="U69" s="4" t="s">
        <v>196</v>
      </c>
    </row>
    <row r="70" customFormat="false" ht="15" hidden="false" customHeight="false" outlineLevel="0" collapsed="false">
      <c r="A70" s="4" t="s">
        <v>40</v>
      </c>
      <c r="B70" s="4" t="s">
        <v>313</v>
      </c>
      <c r="C70" s="4" t="s">
        <v>79</v>
      </c>
      <c r="D70" s="4" t="s">
        <v>314</v>
      </c>
      <c r="E70" s="4" t="s">
        <v>315</v>
      </c>
      <c r="F70" s="4"/>
      <c r="G70" s="4"/>
      <c r="H70" s="8" t="s">
        <v>143</v>
      </c>
      <c r="I70" s="4"/>
      <c r="J70" s="4"/>
      <c r="K70" s="4" t="n">
        <v>1</v>
      </c>
      <c r="L70" s="4" t="n">
        <v>20</v>
      </c>
      <c r="M70" s="4" t="n">
        <v>12</v>
      </c>
      <c r="N70" s="4" t="s">
        <v>194</v>
      </c>
      <c r="O70" s="4" t="s">
        <v>309</v>
      </c>
      <c r="P70" s="4"/>
      <c r="Q70" s="4"/>
      <c r="R70" s="4" t="s">
        <v>71</v>
      </c>
      <c r="S70" s="4"/>
      <c r="T70" s="4"/>
      <c r="U70" s="4" t="s">
        <v>196</v>
      </c>
    </row>
    <row r="71" customFormat="false" ht="15" hidden="false" customHeight="false" outlineLevel="0" collapsed="false">
      <c r="A71" s="4" t="s">
        <v>40</v>
      </c>
      <c r="B71" s="4" t="s">
        <v>316</v>
      </c>
      <c r="C71" s="4" t="s">
        <v>79</v>
      </c>
      <c r="D71" s="4" t="s">
        <v>317</v>
      </c>
      <c r="E71" s="4" t="s">
        <v>318</v>
      </c>
      <c r="F71" s="7" t="n">
        <v>35.46552</v>
      </c>
      <c r="G71" s="7" t="n">
        <v>11.0417</v>
      </c>
      <c r="H71" s="8" t="s">
        <v>124</v>
      </c>
      <c r="I71" s="4"/>
      <c r="J71" s="4"/>
      <c r="K71" s="4" t="n">
        <v>1</v>
      </c>
      <c r="L71" s="4" t="n">
        <v>20</v>
      </c>
      <c r="M71" s="4" t="n">
        <v>16</v>
      </c>
      <c r="N71" s="4" t="s">
        <v>194</v>
      </c>
      <c r="O71" s="4" t="s">
        <v>309</v>
      </c>
      <c r="P71" s="4"/>
      <c r="Q71" s="4"/>
      <c r="R71" s="4" t="s">
        <v>71</v>
      </c>
      <c r="S71" s="4"/>
      <c r="T71" s="4"/>
      <c r="U71" s="4" t="s">
        <v>196</v>
      </c>
    </row>
    <row r="72" customFormat="false" ht="15" hidden="false" customHeight="false" outlineLevel="0" collapsed="false">
      <c r="A72" s="4" t="s">
        <v>40</v>
      </c>
      <c r="B72" s="4" t="s">
        <v>319</v>
      </c>
      <c r="C72" s="4" t="s">
        <v>79</v>
      </c>
      <c r="D72" s="4" t="s">
        <v>320</v>
      </c>
      <c r="E72" s="4" t="s">
        <v>321</v>
      </c>
      <c r="F72" s="4"/>
      <c r="G72" s="4"/>
      <c r="H72" s="8" t="s">
        <v>143</v>
      </c>
      <c r="I72" s="4"/>
      <c r="J72" s="4"/>
      <c r="K72" s="4" t="n">
        <v>1</v>
      </c>
      <c r="L72" s="4" t="n">
        <v>20</v>
      </c>
      <c r="M72" s="4" t="n">
        <v>17</v>
      </c>
      <c r="N72" s="4" t="s">
        <v>194</v>
      </c>
      <c r="O72" s="4" t="s">
        <v>309</v>
      </c>
      <c r="P72" s="4"/>
      <c r="Q72" s="4"/>
      <c r="R72" s="4" t="s">
        <v>71</v>
      </c>
      <c r="S72" s="4"/>
      <c r="T72" s="4"/>
      <c r="U72" s="4" t="s">
        <v>196</v>
      </c>
    </row>
    <row r="73" customFormat="false" ht="15" hidden="false" customHeight="false" outlineLevel="0" collapsed="false">
      <c r="A73" s="4" t="s">
        <v>40</v>
      </c>
      <c r="B73" s="4" t="s">
        <v>322</v>
      </c>
      <c r="C73" s="4" t="s">
        <v>79</v>
      </c>
      <c r="D73" s="4" t="s">
        <v>323</v>
      </c>
      <c r="E73" s="4"/>
      <c r="F73" s="4"/>
      <c r="G73" s="4"/>
      <c r="H73" s="8" t="s">
        <v>143</v>
      </c>
      <c r="I73" s="4"/>
      <c r="J73" s="4"/>
      <c r="K73" s="4" t="n">
        <v>1</v>
      </c>
      <c r="L73" s="4" t="n">
        <v>15</v>
      </c>
      <c r="M73" s="4" t="n">
        <v>8</v>
      </c>
      <c r="N73" s="4" t="s">
        <v>194</v>
      </c>
      <c r="O73" s="4" t="s">
        <v>309</v>
      </c>
      <c r="P73" s="4"/>
      <c r="Q73" s="4"/>
      <c r="R73" s="4" t="s">
        <v>71</v>
      </c>
      <c r="S73" s="4"/>
      <c r="T73" s="4"/>
      <c r="U73" s="4" t="s">
        <v>196</v>
      </c>
    </row>
    <row r="74" customFormat="false" ht="15" hidden="false" customHeight="false" outlineLevel="0" collapsed="false">
      <c r="A74" s="4" t="s">
        <v>40</v>
      </c>
      <c r="B74" s="4" t="s">
        <v>324</v>
      </c>
      <c r="C74" s="4" t="s">
        <v>79</v>
      </c>
      <c r="D74" s="4" t="s">
        <v>325</v>
      </c>
      <c r="E74" s="4"/>
      <c r="F74" s="4"/>
      <c r="G74" s="4"/>
      <c r="H74" s="8" t="s">
        <v>143</v>
      </c>
      <c r="I74" s="4"/>
      <c r="J74" s="4"/>
      <c r="K74" s="4" t="n">
        <v>1</v>
      </c>
      <c r="L74" s="4" t="n">
        <v>15</v>
      </c>
      <c r="M74" s="4" t="n">
        <v>6</v>
      </c>
      <c r="N74" s="4" t="s">
        <v>194</v>
      </c>
      <c r="O74" s="4" t="s">
        <v>309</v>
      </c>
      <c r="P74" s="4"/>
      <c r="Q74" s="4"/>
      <c r="R74" s="4" t="s">
        <v>71</v>
      </c>
      <c r="S74" s="4"/>
      <c r="T74" s="4"/>
      <c r="U74" s="4" t="s">
        <v>196</v>
      </c>
    </row>
    <row r="75" customFormat="false" ht="15" hidden="false" customHeight="false" outlineLevel="0" collapsed="false">
      <c r="A75" s="4" t="s">
        <v>40</v>
      </c>
      <c r="B75" s="4" t="s">
        <v>326</v>
      </c>
      <c r="C75" s="4" t="s">
        <v>79</v>
      </c>
      <c r="D75" s="4" t="s">
        <v>327</v>
      </c>
      <c r="E75" s="4" t="s">
        <v>328</v>
      </c>
      <c r="F75" s="4"/>
      <c r="G75" s="4"/>
      <c r="H75" s="8" t="s">
        <v>143</v>
      </c>
      <c r="I75" s="4"/>
      <c r="J75" s="4"/>
      <c r="K75" s="4" t="n">
        <v>1</v>
      </c>
      <c r="L75" s="4" t="n">
        <v>20</v>
      </c>
      <c r="M75" s="4" t="n">
        <v>9</v>
      </c>
      <c r="N75" s="4" t="s">
        <v>194</v>
      </c>
      <c r="O75" s="4" t="s">
        <v>309</v>
      </c>
      <c r="P75" s="4"/>
      <c r="Q75" s="4"/>
      <c r="R75" s="4" t="s">
        <v>71</v>
      </c>
      <c r="S75" s="4"/>
      <c r="T75" s="4"/>
      <c r="U75" s="4" t="s">
        <v>196</v>
      </c>
    </row>
    <row r="76" customFormat="false" ht="15" hidden="false" customHeight="false" outlineLevel="0" collapsed="false">
      <c r="A76" s="4" t="s">
        <v>40</v>
      </c>
      <c r="B76" s="4" t="s">
        <v>329</v>
      </c>
      <c r="C76" s="4" t="s">
        <v>79</v>
      </c>
      <c r="D76" s="4" t="s">
        <v>330</v>
      </c>
      <c r="E76" s="4"/>
      <c r="F76" s="4"/>
      <c r="G76" s="4"/>
      <c r="H76" s="8" t="s">
        <v>143</v>
      </c>
      <c r="I76" s="4"/>
      <c r="J76" s="4"/>
      <c r="K76" s="4" t="n">
        <v>1</v>
      </c>
      <c r="L76" s="4" t="n">
        <v>20</v>
      </c>
      <c r="M76" s="4" t="n">
        <v>11</v>
      </c>
      <c r="N76" s="4" t="s">
        <v>194</v>
      </c>
      <c r="O76" s="4" t="s">
        <v>309</v>
      </c>
      <c r="P76" s="4"/>
      <c r="Q76" s="4"/>
      <c r="R76" s="4" t="s">
        <v>71</v>
      </c>
      <c r="S76" s="4"/>
      <c r="T76" s="4"/>
      <c r="U76" s="4" t="s">
        <v>196</v>
      </c>
    </row>
    <row r="77" customFormat="false" ht="15" hidden="false" customHeight="false" outlineLevel="0" collapsed="false">
      <c r="A77" s="4" t="s">
        <v>40</v>
      </c>
      <c r="B77" s="4" t="s">
        <v>331</v>
      </c>
      <c r="C77" s="4" t="s">
        <v>79</v>
      </c>
      <c r="D77" s="4" t="s">
        <v>332</v>
      </c>
      <c r="E77" s="4" t="s">
        <v>333</v>
      </c>
      <c r="F77" s="4"/>
      <c r="G77" s="4"/>
      <c r="H77" s="8" t="s">
        <v>143</v>
      </c>
      <c r="I77" s="4"/>
      <c r="J77" s="4"/>
      <c r="K77" s="4" t="n">
        <v>1</v>
      </c>
      <c r="L77" s="4" t="n">
        <v>12</v>
      </c>
      <c r="M77" s="4" t="n">
        <v>14</v>
      </c>
      <c r="N77" s="4" t="s">
        <v>194</v>
      </c>
      <c r="O77" s="4" t="s">
        <v>309</v>
      </c>
      <c r="P77" s="4"/>
      <c r="Q77" s="4"/>
      <c r="R77" s="4" t="s">
        <v>71</v>
      </c>
      <c r="S77" s="4"/>
      <c r="T77" s="4"/>
      <c r="U77" s="4" t="s">
        <v>196</v>
      </c>
    </row>
    <row r="78" customFormat="false" ht="15" hidden="false" customHeight="false" outlineLevel="0" collapsed="false">
      <c r="A78" s="4" t="s">
        <v>40</v>
      </c>
      <c r="B78" s="4" t="s">
        <v>334</v>
      </c>
      <c r="C78" s="4" t="s">
        <v>79</v>
      </c>
      <c r="D78" s="4" t="s">
        <v>335</v>
      </c>
      <c r="E78" s="4" t="s">
        <v>336</v>
      </c>
      <c r="F78" s="4"/>
      <c r="G78" s="4"/>
      <c r="H78" s="8" t="s">
        <v>143</v>
      </c>
      <c r="I78" s="4"/>
      <c r="J78" s="4"/>
      <c r="K78" s="4" t="n">
        <v>1</v>
      </c>
      <c r="L78" s="4" t="n">
        <v>12</v>
      </c>
      <c r="M78" s="4" t="n">
        <v>15</v>
      </c>
      <c r="N78" s="4" t="s">
        <v>194</v>
      </c>
      <c r="O78" s="4" t="s">
        <v>309</v>
      </c>
      <c r="P78" s="4"/>
      <c r="Q78" s="4"/>
      <c r="R78" s="4" t="s">
        <v>71</v>
      </c>
      <c r="S78" s="4"/>
      <c r="T78" s="4"/>
      <c r="U78" s="4" t="s">
        <v>196</v>
      </c>
    </row>
    <row r="79" customFormat="false" ht="15" hidden="false" customHeight="false" outlineLevel="0" collapsed="false">
      <c r="A79" s="4" t="s">
        <v>40</v>
      </c>
      <c r="B79" s="4" t="s">
        <v>337</v>
      </c>
      <c r="C79" s="4" t="s">
        <v>79</v>
      </c>
      <c r="D79" s="4" t="s">
        <v>338</v>
      </c>
      <c r="E79" s="4" t="s">
        <v>339</v>
      </c>
      <c r="F79" s="7" t="n">
        <v>35.289</v>
      </c>
      <c r="G79" s="7" t="n">
        <v>11.05067</v>
      </c>
      <c r="H79" s="8" t="s">
        <v>101</v>
      </c>
      <c r="I79" s="4"/>
      <c r="J79" s="4"/>
      <c r="K79" s="4" t="n">
        <v>1</v>
      </c>
      <c r="L79" s="4" t="n">
        <v>18</v>
      </c>
      <c r="M79" s="4" t="n">
        <v>15</v>
      </c>
      <c r="N79" s="4" t="s">
        <v>194</v>
      </c>
      <c r="O79" s="4" t="s">
        <v>309</v>
      </c>
      <c r="P79" s="4"/>
      <c r="Q79" s="4"/>
      <c r="R79" s="4" t="s">
        <v>71</v>
      </c>
      <c r="S79" s="4"/>
      <c r="T79" s="4"/>
      <c r="U79" s="4" t="s">
        <v>196</v>
      </c>
    </row>
    <row r="80" customFormat="false" ht="15" hidden="false" customHeight="false" outlineLevel="0" collapsed="false">
      <c r="A80" s="4" t="s">
        <v>40</v>
      </c>
      <c r="B80" s="4" t="s">
        <v>340</v>
      </c>
      <c r="C80" s="4" t="s">
        <v>79</v>
      </c>
      <c r="D80" s="4" t="s">
        <v>341</v>
      </c>
      <c r="E80" s="4" t="s">
        <v>342</v>
      </c>
      <c r="F80" s="7" t="n">
        <v>35.31003</v>
      </c>
      <c r="G80" s="7" t="n">
        <v>11.05367</v>
      </c>
      <c r="H80" s="8" t="s">
        <v>213</v>
      </c>
      <c r="I80" s="4"/>
      <c r="J80" s="4"/>
      <c r="K80" s="4" t="n">
        <v>1</v>
      </c>
      <c r="L80" s="4" t="n">
        <v>12</v>
      </c>
      <c r="M80" s="4" t="n">
        <v>12</v>
      </c>
      <c r="N80" s="4" t="s">
        <v>194</v>
      </c>
      <c r="O80" s="4" t="s">
        <v>309</v>
      </c>
      <c r="P80" s="4"/>
      <c r="Q80" s="4"/>
      <c r="R80" s="4" t="s">
        <v>71</v>
      </c>
      <c r="S80" s="4"/>
      <c r="T80" s="4"/>
      <c r="U80" s="4" t="s">
        <v>196</v>
      </c>
    </row>
    <row r="81" customFormat="false" ht="15" hidden="false" customHeight="false" outlineLevel="0" collapsed="false">
      <c r="A81" s="4" t="s">
        <v>40</v>
      </c>
      <c r="B81" s="4" t="s">
        <v>343</v>
      </c>
      <c r="C81" s="4" t="s">
        <v>82</v>
      </c>
      <c r="D81" s="4" t="s">
        <v>344</v>
      </c>
      <c r="E81" s="4" t="s">
        <v>345</v>
      </c>
      <c r="F81" s="7" t="n">
        <v>35.77425</v>
      </c>
      <c r="G81" s="7" t="n">
        <v>10.8365</v>
      </c>
      <c r="H81" s="8" t="s">
        <v>213</v>
      </c>
      <c r="I81" s="4"/>
      <c r="J81" s="4"/>
      <c r="K81" s="4" t="n">
        <v>2</v>
      </c>
      <c r="L81" s="4" t="n">
        <v>33</v>
      </c>
      <c r="M81" s="4" t="n">
        <v>31</v>
      </c>
      <c r="N81" s="4" t="s">
        <v>346</v>
      </c>
      <c r="O81" s="4" t="s">
        <v>309</v>
      </c>
      <c r="P81" s="4"/>
      <c r="Q81" s="4"/>
      <c r="R81" s="4" t="s">
        <v>71</v>
      </c>
      <c r="S81" s="4"/>
      <c r="T81" s="4"/>
      <c r="U81" s="4" t="s">
        <v>196</v>
      </c>
    </row>
    <row r="82" customFormat="false" ht="15" hidden="false" customHeight="false" outlineLevel="0" collapsed="false">
      <c r="A82" s="4" t="s">
        <v>40</v>
      </c>
      <c r="B82" s="4" t="s">
        <v>347</v>
      </c>
      <c r="C82" s="4" t="s">
        <v>82</v>
      </c>
      <c r="D82" s="4" t="s">
        <v>348</v>
      </c>
      <c r="E82" s="4" t="s">
        <v>349</v>
      </c>
      <c r="F82" s="4"/>
      <c r="G82" s="4"/>
      <c r="H82" s="8" t="s">
        <v>143</v>
      </c>
      <c r="I82" s="4"/>
      <c r="J82" s="4"/>
      <c r="K82" s="4" t="n">
        <v>2</v>
      </c>
      <c r="L82" s="4" t="n">
        <v>26</v>
      </c>
      <c r="M82" s="4" t="n">
        <v>23</v>
      </c>
      <c r="N82" s="4" t="s">
        <v>346</v>
      </c>
      <c r="O82" s="4" t="s">
        <v>309</v>
      </c>
      <c r="P82" s="4"/>
      <c r="Q82" s="4"/>
      <c r="R82" s="4" t="s">
        <v>71</v>
      </c>
      <c r="S82" s="4"/>
      <c r="T82" s="4"/>
      <c r="U82" s="4" t="s">
        <v>196</v>
      </c>
    </row>
    <row r="83" customFormat="false" ht="15" hidden="false" customHeight="false" outlineLevel="0" collapsed="false">
      <c r="A83" s="4" t="s">
        <v>40</v>
      </c>
      <c r="B83" s="4" t="s">
        <v>350</v>
      </c>
      <c r="C83" s="4" t="s">
        <v>82</v>
      </c>
      <c r="D83" s="4" t="s">
        <v>351</v>
      </c>
      <c r="E83" s="4" t="s">
        <v>352</v>
      </c>
      <c r="F83" s="4"/>
      <c r="G83" s="4"/>
      <c r="H83" s="8" t="s">
        <v>143</v>
      </c>
      <c r="I83" s="4"/>
      <c r="J83" s="4"/>
      <c r="K83" s="4" t="n">
        <v>1</v>
      </c>
      <c r="L83" s="4" t="n">
        <v>18</v>
      </c>
      <c r="M83" s="4" t="n">
        <v>16</v>
      </c>
      <c r="N83" s="4" t="s">
        <v>346</v>
      </c>
      <c r="O83" s="4" t="s">
        <v>309</v>
      </c>
      <c r="P83" s="4"/>
      <c r="Q83" s="4"/>
      <c r="R83" s="4" t="s">
        <v>71</v>
      </c>
      <c r="S83" s="4"/>
      <c r="T83" s="4"/>
      <c r="U83" s="4" t="s">
        <v>196</v>
      </c>
    </row>
    <row r="84" customFormat="false" ht="15" hidden="false" customHeight="false" outlineLevel="0" collapsed="false">
      <c r="A84" s="4" t="s">
        <v>40</v>
      </c>
      <c r="B84" s="4" t="s">
        <v>353</v>
      </c>
      <c r="C84" s="4" t="s">
        <v>82</v>
      </c>
      <c r="D84" s="4" t="s">
        <v>354</v>
      </c>
      <c r="E84" s="4" t="s">
        <v>355</v>
      </c>
      <c r="F84" s="7" t="n">
        <v>35.51901</v>
      </c>
      <c r="G84" s="7" t="n">
        <v>10.97445</v>
      </c>
      <c r="H84" s="8" t="s">
        <v>101</v>
      </c>
      <c r="I84" s="4"/>
      <c r="J84" s="4"/>
      <c r="K84" s="4" t="n">
        <v>2</v>
      </c>
      <c r="L84" s="4" t="n">
        <v>32</v>
      </c>
      <c r="M84" s="4" t="n">
        <v>30</v>
      </c>
      <c r="N84" s="4" t="s">
        <v>346</v>
      </c>
      <c r="O84" s="4" t="s">
        <v>309</v>
      </c>
      <c r="P84" s="4"/>
      <c r="Q84" s="4"/>
      <c r="R84" s="4" t="s">
        <v>71</v>
      </c>
      <c r="S84" s="4"/>
      <c r="T84" s="4"/>
      <c r="U84" s="4" t="s">
        <v>196</v>
      </c>
    </row>
    <row r="85" customFormat="false" ht="15" hidden="false" customHeight="false" outlineLevel="0" collapsed="false">
      <c r="A85" s="4" t="s">
        <v>40</v>
      </c>
      <c r="B85" s="4" t="s">
        <v>356</v>
      </c>
      <c r="C85" s="4" t="s">
        <v>82</v>
      </c>
      <c r="D85" s="4" t="s">
        <v>357</v>
      </c>
      <c r="E85" s="4" t="s">
        <v>358</v>
      </c>
      <c r="F85" s="4"/>
      <c r="G85" s="4"/>
      <c r="H85" s="8" t="s">
        <v>143</v>
      </c>
      <c r="I85" s="4"/>
      <c r="J85" s="4"/>
      <c r="K85" s="4" t="n">
        <v>2</v>
      </c>
      <c r="L85" s="4" t="n">
        <v>24</v>
      </c>
      <c r="M85" s="4" t="n">
        <v>9</v>
      </c>
      <c r="N85" s="4" t="s">
        <v>286</v>
      </c>
      <c r="O85" s="4" t="s">
        <v>309</v>
      </c>
      <c r="P85" s="4"/>
      <c r="Q85" s="4"/>
      <c r="R85" s="4" t="s">
        <v>71</v>
      </c>
      <c r="S85" s="4"/>
      <c r="T85" s="4"/>
      <c r="U85" s="4" t="s">
        <v>196</v>
      </c>
    </row>
    <row r="86" customFormat="false" ht="15" hidden="false" customHeight="false" outlineLevel="0" collapsed="false">
      <c r="A86" s="4" t="s">
        <v>40</v>
      </c>
      <c r="B86" s="4" t="s">
        <v>359</v>
      </c>
      <c r="C86" s="4" t="s">
        <v>82</v>
      </c>
      <c r="D86" s="4" t="s">
        <v>360</v>
      </c>
      <c r="E86" s="4" t="s">
        <v>361</v>
      </c>
      <c r="F86" s="4"/>
      <c r="G86" s="4"/>
      <c r="H86" s="8" t="s">
        <v>143</v>
      </c>
      <c r="I86" s="4"/>
      <c r="J86" s="4"/>
      <c r="K86" s="4" t="n">
        <v>2</v>
      </c>
      <c r="L86" s="4" t="n">
        <v>20</v>
      </c>
      <c r="M86" s="4" t="n">
        <v>14</v>
      </c>
      <c r="N86" s="4" t="s">
        <v>286</v>
      </c>
      <c r="O86" s="4" t="s">
        <v>309</v>
      </c>
      <c r="P86" s="4"/>
      <c r="Q86" s="4"/>
      <c r="R86" s="4" t="s">
        <v>71</v>
      </c>
      <c r="S86" s="4"/>
      <c r="T86" s="4"/>
      <c r="U86" s="4" t="s">
        <v>196</v>
      </c>
    </row>
    <row r="87" customFormat="false" ht="15" hidden="false" customHeight="false" outlineLevel="0" collapsed="false">
      <c r="A87" s="4" t="s">
        <v>40</v>
      </c>
      <c r="B87" s="4" t="s">
        <v>362</v>
      </c>
      <c r="C87" s="4" t="s">
        <v>82</v>
      </c>
      <c r="D87" s="4" t="s">
        <v>363</v>
      </c>
      <c r="E87" s="4" t="s">
        <v>364</v>
      </c>
      <c r="F87" s="4"/>
      <c r="G87" s="4"/>
      <c r="H87" s="8" t="s">
        <v>143</v>
      </c>
      <c r="I87" s="4"/>
      <c r="J87" s="4"/>
      <c r="K87" s="4" t="n">
        <v>2</v>
      </c>
      <c r="L87" s="4" t="n">
        <v>26</v>
      </c>
      <c r="M87" s="4" t="n">
        <v>13</v>
      </c>
      <c r="N87" s="4" t="s">
        <v>286</v>
      </c>
      <c r="O87" s="4" t="s">
        <v>309</v>
      </c>
      <c r="P87" s="4"/>
      <c r="Q87" s="4"/>
      <c r="R87" s="4" t="s">
        <v>71</v>
      </c>
      <c r="S87" s="4"/>
      <c r="T87" s="4"/>
      <c r="U87" s="4" t="s">
        <v>196</v>
      </c>
    </row>
    <row r="88" customFormat="false" ht="15" hidden="false" customHeight="false" outlineLevel="0" collapsed="false">
      <c r="A88" s="4" t="s">
        <v>40</v>
      </c>
      <c r="B88" s="4" t="s">
        <v>365</v>
      </c>
      <c r="C88" s="4" t="s">
        <v>366</v>
      </c>
      <c r="D88" s="4" t="s">
        <v>367</v>
      </c>
      <c r="E88" s="4" t="s">
        <v>368</v>
      </c>
      <c r="F88" s="7" t="n">
        <v>36.81593</v>
      </c>
      <c r="G88" s="7" t="n">
        <v>10.30424</v>
      </c>
      <c r="H88" s="8" t="s">
        <v>117</v>
      </c>
      <c r="I88" s="4"/>
      <c r="J88" s="4"/>
      <c r="K88" s="4" t="n">
        <v>1</v>
      </c>
      <c r="L88" s="4" t="n">
        <v>24</v>
      </c>
      <c r="M88" s="4" t="n">
        <v>24</v>
      </c>
      <c r="N88" s="4" t="s">
        <v>369</v>
      </c>
      <c r="O88" s="4" t="s">
        <v>214</v>
      </c>
      <c r="P88" s="4"/>
      <c r="Q88" s="4"/>
      <c r="R88" s="4" t="s">
        <v>71</v>
      </c>
      <c r="S88" s="4"/>
      <c r="T88" s="4"/>
      <c r="U88" s="4" t="s">
        <v>196</v>
      </c>
    </row>
    <row r="89" customFormat="false" ht="15" hidden="false" customHeight="false" outlineLevel="0" collapsed="false">
      <c r="A89" s="4" t="s">
        <v>40</v>
      </c>
      <c r="B89" s="4" t="s">
        <v>370</v>
      </c>
      <c r="C89" s="4" t="s">
        <v>366</v>
      </c>
      <c r="D89" s="4" t="s">
        <v>371</v>
      </c>
      <c r="E89" s="4" t="s">
        <v>372</v>
      </c>
      <c r="F89" s="7" t="n">
        <v>36.83483</v>
      </c>
      <c r="G89" s="7" t="n">
        <v>10.31815</v>
      </c>
      <c r="H89" s="8" t="s">
        <v>117</v>
      </c>
      <c r="I89" s="4"/>
      <c r="J89" s="4"/>
      <c r="K89" s="4" t="n">
        <v>1</v>
      </c>
      <c r="L89" s="4" t="n">
        <v>16</v>
      </c>
      <c r="M89" s="4" t="n">
        <v>16</v>
      </c>
      <c r="N89" s="4" t="s">
        <v>373</v>
      </c>
      <c r="O89" s="4" t="s">
        <v>214</v>
      </c>
      <c r="P89" s="4"/>
      <c r="Q89" s="4"/>
      <c r="R89" s="4" t="s">
        <v>71</v>
      </c>
      <c r="S89" s="4"/>
      <c r="T89" s="4"/>
      <c r="U89" s="4" t="s">
        <v>196</v>
      </c>
    </row>
    <row r="90" customFormat="false" ht="15" hidden="false" customHeight="false" outlineLevel="0" collapsed="false">
      <c r="A90" s="4" t="s">
        <v>40</v>
      </c>
      <c r="B90" s="4" t="s">
        <v>374</v>
      </c>
      <c r="C90" s="4" t="s">
        <v>366</v>
      </c>
      <c r="D90" s="4" t="s">
        <v>375</v>
      </c>
      <c r="E90" s="4" t="s">
        <v>376</v>
      </c>
      <c r="F90" s="7" t="n">
        <v>36.86165</v>
      </c>
      <c r="G90" s="7" t="n">
        <v>10.34161</v>
      </c>
      <c r="H90" s="8" t="s">
        <v>213</v>
      </c>
      <c r="I90" s="4"/>
      <c r="J90" s="4"/>
      <c r="K90" s="4" t="n">
        <v>0</v>
      </c>
      <c r="L90" s="4" t="n">
        <v>12</v>
      </c>
      <c r="M90" s="4" t="n">
        <v>12</v>
      </c>
      <c r="N90" s="4" t="s">
        <v>373</v>
      </c>
      <c r="O90" s="4" t="s">
        <v>214</v>
      </c>
      <c r="P90" s="4"/>
      <c r="Q90" s="4"/>
      <c r="R90" s="4" t="s">
        <v>71</v>
      </c>
      <c r="S90" s="4"/>
      <c r="T90" s="4"/>
      <c r="U90" s="4" t="s">
        <v>196</v>
      </c>
    </row>
    <row r="91" customFormat="false" ht="15" hidden="false" customHeight="false" outlineLevel="0" collapsed="false">
      <c r="A91" s="4" t="s">
        <v>40</v>
      </c>
      <c r="B91" s="4" t="s">
        <v>377</v>
      </c>
      <c r="C91" s="4" t="s">
        <v>366</v>
      </c>
      <c r="D91" s="4" t="s">
        <v>378</v>
      </c>
      <c r="E91" s="4"/>
      <c r="F91" s="7" t="n">
        <v>36.87109</v>
      </c>
      <c r="G91" s="7" t="n">
        <v>10.34905</v>
      </c>
      <c r="H91" s="8" t="s">
        <v>101</v>
      </c>
      <c r="I91" s="4"/>
      <c r="J91" s="4"/>
      <c r="K91" s="4" t="n">
        <v>1</v>
      </c>
      <c r="L91" s="4" t="n">
        <v>8</v>
      </c>
      <c r="M91" s="4" t="n">
        <v>8</v>
      </c>
      <c r="N91" s="4" t="s">
        <v>201</v>
      </c>
      <c r="O91" s="4" t="s">
        <v>214</v>
      </c>
      <c r="P91" s="4"/>
      <c r="Q91" s="4"/>
      <c r="R91" s="4" t="s">
        <v>71</v>
      </c>
      <c r="S91" s="4"/>
      <c r="T91" s="4"/>
      <c r="U91" s="4" t="s">
        <v>196</v>
      </c>
    </row>
    <row r="92" customFormat="false" ht="15" hidden="false" customHeight="false" outlineLevel="0" collapsed="false">
      <c r="A92" s="4" t="s">
        <v>40</v>
      </c>
      <c r="B92" s="4" t="s">
        <v>379</v>
      </c>
      <c r="C92" s="4" t="s">
        <v>366</v>
      </c>
      <c r="D92" s="4" t="s">
        <v>380</v>
      </c>
      <c r="E92" s="4" t="s">
        <v>381</v>
      </c>
      <c r="F92" s="7" t="n">
        <v>36.89379</v>
      </c>
      <c r="G92" s="7" t="n">
        <v>10.32525</v>
      </c>
      <c r="H92" s="8" t="s">
        <v>213</v>
      </c>
      <c r="I92" s="4"/>
      <c r="J92" s="4"/>
      <c r="K92" s="4" t="n">
        <v>1</v>
      </c>
      <c r="L92" s="4" t="n">
        <v>54</v>
      </c>
      <c r="M92" s="4" t="n">
        <v>39</v>
      </c>
      <c r="N92" s="4" t="s">
        <v>194</v>
      </c>
      <c r="O92" s="4" t="s">
        <v>214</v>
      </c>
      <c r="P92" s="4"/>
      <c r="Q92" s="4"/>
      <c r="R92" s="4" t="s">
        <v>71</v>
      </c>
      <c r="S92" s="4"/>
      <c r="T92" s="4"/>
      <c r="U92" s="4" t="s">
        <v>196</v>
      </c>
    </row>
    <row r="93" customFormat="false" ht="15" hidden="false" customHeight="false" outlineLevel="0" collapsed="false">
      <c r="A93" s="4" t="s">
        <v>40</v>
      </c>
      <c r="B93" s="4" t="s">
        <v>382</v>
      </c>
      <c r="C93" s="4" t="s">
        <v>115</v>
      </c>
      <c r="D93" s="4" t="s">
        <v>383</v>
      </c>
      <c r="E93" s="4" t="s">
        <v>384</v>
      </c>
      <c r="F93" s="7" t="n">
        <v>36.76789</v>
      </c>
      <c r="G93" s="7" t="n">
        <v>10.27246</v>
      </c>
      <c r="H93" s="8" t="s">
        <v>117</v>
      </c>
      <c r="I93" s="4"/>
      <c r="J93" s="4"/>
      <c r="K93" s="4" t="n">
        <v>1</v>
      </c>
      <c r="L93" s="4" t="n">
        <v>30</v>
      </c>
      <c r="M93" s="4" t="n">
        <v>26</v>
      </c>
      <c r="N93" s="4" t="s">
        <v>385</v>
      </c>
      <c r="O93" s="4" t="s">
        <v>214</v>
      </c>
      <c r="P93" s="4"/>
      <c r="Q93" s="4"/>
      <c r="R93" s="4" t="s">
        <v>71</v>
      </c>
      <c r="S93" s="4"/>
      <c r="T93" s="4"/>
      <c r="U93" s="4" t="s">
        <v>196</v>
      </c>
    </row>
    <row r="94" customFormat="false" ht="15" hidden="false" customHeight="false" outlineLevel="0" collapsed="false">
      <c r="A94" s="4" t="s">
        <v>40</v>
      </c>
      <c r="B94" s="4" t="s">
        <v>386</v>
      </c>
      <c r="C94" s="4" t="s">
        <v>115</v>
      </c>
      <c r="D94" s="4" t="s">
        <v>387</v>
      </c>
      <c r="E94" s="4" t="s">
        <v>388</v>
      </c>
      <c r="F94" s="7" t="n">
        <v>36.74045</v>
      </c>
      <c r="G94" s="7" t="n">
        <v>10.30295</v>
      </c>
      <c r="H94" s="8" t="s">
        <v>117</v>
      </c>
      <c r="I94" s="4"/>
      <c r="J94" s="4"/>
      <c r="K94" s="4" t="n">
        <v>1</v>
      </c>
      <c r="L94" s="4" t="n">
        <v>30</v>
      </c>
      <c r="M94" s="4" t="n">
        <v>15</v>
      </c>
      <c r="N94" s="4" t="s">
        <v>385</v>
      </c>
      <c r="O94" s="4" t="s">
        <v>214</v>
      </c>
      <c r="P94" s="4"/>
      <c r="Q94" s="4"/>
      <c r="R94" s="4" t="s">
        <v>71</v>
      </c>
      <c r="S94" s="4"/>
      <c r="T94" s="4"/>
      <c r="U94" s="4" t="s">
        <v>196</v>
      </c>
    </row>
    <row r="95" customFormat="false" ht="15" hidden="false" customHeight="false" outlineLevel="0" collapsed="false">
      <c r="A95" s="4" t="s">
        <v>40</v>
      </c>
      <c r="B95" s="4" t="s">
        <v>389</v>
      </c>
      <c r="C95" s="4" t="s">
        <v>115</v>
      </c>
      <c r="D95" s="4" t="s">
        <v>390</v>
      </c>
      <c r="E95" s="4" t="s">
        <v>391</v>
      </c>
      <c r="F95" s="7" t="n">
        <v>36.71895</v>
      </c>
      <c r="G95" s="7" t="n">
        <v>10.36427</v>
      </c>
      <c r="H95" s="8" t="s">
        <v>117</v>
      </c>
      <c r="I95" s="4"/>
      <c r="J95" s="4"/>
      <c r="K95" s="4" t="n">
        <v>1</v>
      </c>
      <c r="L95" s="4" t="n">
        <v>42</v>
      </c>
      <c r="M95" s="4" t="n">
        <v>17</v>
      </c>
      <c r="N95" s="4" t="s">
        <v>385</v>
      </c>
      <c r="O95" s="4" t="s">
        <v>214</v>
      </c>
      <c r="P95" s="4"/>
      <c r="Q95" s="4"/>
      <c r="R95" s="4" t="s">
        <v>71</v>
      </c>
      <c r="S95" s="4"/>
      <c r="T95" s="4"/>
      <c r="U95" s="4" t="s">
        <v>196</v>
      </c>
    </row>
    <row r="96" customFormat="false" ht="15" hidden="false" customHeight="false" outlineLevel="0" collapsed="false">
      <c r="A96" s="4" t="s">
        <v>40</v>
      </c>
      <c r="B96" s="4" t="s">
        <v>392</v>
      </c>
      <c r="C96" s="4" t="s">
        <v>115</v>
      </c>
      <c r="D96" s="4" t="s">
        <v>393</v>
      </c>
      <c r="E96" s="4" t="s">
        <v>394</v>
      </c>
      <c r="F96" s="4"/>
      <c r="G96" s="4"/>
      <c r="H96" s="8" t="s">
        <v>143</v>
      </c>
      <c r="I96" s="4"/>
      <c r="J96" s="4"/>
      <c r="K96" s="4" t="n">
        <v>1</v>
      </c>
      <c r="L96" s="4" t="n">
        <v>30</v>
      </c>
      <c r="M96" s="4" t="n">
        <v>9</v>
      </c>
      <c r="N96" s="4" t="s">
        <v>385</v>
      </c>
      <c r="O96" s="4" t="s">
        <v>214</v>
      </c>
      <c r="P96" s="4"/>
      <c r="Q96" s="4"/>
      <c r="R96" s="4" t="s">
        <v>71</v>
      </c>
      <c r="S96" s="4"/>
      <c r="T96" s="4"/>
      <c r="U96" s="4" t="s">
        <v>196</v>
      </c>
    </row>
    <row r="97" customFormat="false" ht="15" hidden="false" customHeight="false" outlineLevel="0" collapsed="false">
      <c r="A97" s="4" t="s">
        <v>40</v>
      </c>
      <c r="B97" s="4" t="s">
        <v>395</v>
      </c>
      <c r="C97" s="4" t="s">
        <v>96</v>
      </c>
      <c r="D97" s="4" t="s">
        <v>396</v>
      </c>
      <c r="E97" s="4" t="s">
        <v>397</v>
      </c>
      <c r="F97" s="7" t="n">
        <v>33.14032</v>
      </c>
      <c r="G97" s="7" t="n">
        <v>11.21701</v>
      </c>
      <c r="H97" s="8" t="s">
        <v>117</v>
      </c>
      <c r="I97" s="4"/>
      <c r="J97" s="4"/>
      <c r="K97" s="4" t="n">
        <v>1</v>
      </c>
      <c r="L97" s="4" t="n">
        <v>6</v>
      </c>
      <c r="M97" s="4" t="n">
        <v>4</v>
      </c>
      <c r="N97" s="4" t="s">
        <v>201</v>
      </c>
      <c r="O97" s="4" t="s">
        <v>309</v>
      </c>
      <c r="P97" s="4"/>
      <c r="Q97" s="4"/>
      <c r="R97" s="4" t="s">
        <v>71</v>
      </c>
      <c r="S97" s="4"/>
      <c r="T97" s="4"/>
      <c r="U97" s="4" t="s">
        <v>196</v>
      </c>
    </row>
    <row r="98" customFormat="false" ht="15" hidden="false" customHeight="false" outlineLevel="0" collapsed="false">
      <c r="A98" s="4" t="s">
        <v>40</v>
      </c>
      <c r="B98" s="4" t="s">
        <v>398</v>
      </c>
      <c r="C98" s="4" t="s">
        <v>96</v>
      </c>
      <c r="D98" s="4" t="s">
        <v>396</v>
      </c>
      <c r="E98" s="4" t="s">
        <v>399</v>
      </c>
      <c r="F98" s="7" t="n">
        <v>33.14032</v>
      </c>
      <c r="G98" s="7" t="n">
        <v>11.21701</v>
      </c>
      <c r="H98" s="8" t="s">
        <v>117</v>
      </c>
      <c r="I98" s="4"/>
      <c r="J98" s="4"/>
      <c r="K98" s="4" t="n">
        <v>1</v>
      </c>
      <c r="L98" s="4" t="n">
        <v>6</v>
      </c>
      <c r="M98" s="4" t="n">
        <v>4</v>
      </c>
      <c r="N98" s="4"/>
      <c r="O98" s="4" t="s">
        <v>309</v>
      </c>
      <c r="P98" s="4"/>
      <c r="Q98" s="4"/>
      <c r="R98" s="4" t="s">
        <v>71</v>
      </c>
      <c r="S98" s="4"/>
      <c r="T98" s="4"/>
      <c r="U98" s="4" t="s">
        <v>196</v>
      </c>
    </row>
    <row r="99" customFormat="false" ht="15" hidden="false" customHeight="false" outlineLevel="0" collapsed="false">
      <c r="A99" s="4" t="s">
        <v>40</v>
      </c>
      <c r="B99" s="4" t="s">
        <v>400</v>
      </c>
      <c r="C99" s="4" t="s">
        <v>96</v>
      </c>
      <c r="D99" s="4" t="s">
        <v>401</v>
      </c>
      <c r="E99" s="4" t="s">
        <v>402</v>
      </c>
      <c r="F99" s="7" t="n">
        <v>33.50368</v>
      </c>
      <c r="G99" s="7" t="n">
        <v>11.10972</v>
      </c>
      <c r="H99" s="8" t="s">
        <v>117</v>
      </c>
      <c r="I99" s="4"/>
      <c r="J99" s="4"/>
      <c r="K99" s="4" t="n">
        <v>1</v>
      </c>
      <c r="L99" s="4" t="n">
        <v>12</v>
      </c>
      <c r="M99" s="4" t="n">
        <v>4</v>
      </c>
      <c r="N99" s="4" t="s">
        <v>201</v>
      </c>
      <c r="O99" s="4" t="s">
        <v>309</v>
      </c>
      <c r="P99" s="4"/>
      <c r="Q99" s="4"/>
      <c r="R99" s="4" t="s">
        <v>71</v>
      </c>
      <c r="S99" s="4"/>
      <c r="T99" s="4"/>
      <c r="U99" s="4" t="s">
        <v>196</v>
      </c>
    </row>
    <row r="100" customFormat="false" ht="15" hidden="false" customHeight="false" outlineLevel="0" collapsed="false">
      <c r="A100" s="4" t="s">
        <v>40</v>
      </c>
      <c r="B100" s="4" t="s">
        <v>403</v>
      </c>
      <c r="C100" s="4" t="s">
        <v>96</v>
      </c>
      <c r="D100" s="4" t="s">
        <v>401</v>
      </c>
      <c r="E100" s="4" t="s">
        <v>404</v>
      </c>
      <c r="F100" s="7" t="n">
        <v>33.50368</v>
      </c>
      <c r="G100" s="7" t="n">
        <v>11.10972</v>
      </c>
      <c r="H100" s="8" t="s">
        <v>117</v>
      </c>
      <c r="I100" s="4"/>
      <c r="J100" s="4"/>
      <c r="K100" s="4" t="n">
        <v>1</v>
      </c>
      <c r="L100" s="4" t="n">
        <v>16</v>
      </c>
      <c r="M100" s="4" t="n">
        <v>4</v>
      </c>
      <c r="N100" s="4" t="s">
        <v>194</v>
      </c>
      <c r="O100" s="4" t="s">
        <v>309</v>
      </c>
      <c r="P100" s="4"/>
      <c r="Q100" s="4"/>
      <c r="R100" s="4" t="s">
        <v>71</v>
      </c>
      <c r="S100" s="4"/>
      <c r="T100" s="4"/>
      <c r="U100" s="4" t="s">
        <v>196</v>
      </c>
    </row>
    <row r="101" customFormat="false" ht="15" hidden="false" customHeight="false" outlineLevel="0" collapsed="false">
      <c r="A101" s="4" t="s">
        <v>40</v>
      </c>
      <c r="B101" s="4" t="s">
        <v>405</v>
      </c>
      <c r="C101" s="4" t="s">
        <v>96</v>
      </c>
      <c r="D101" s="4" t="s">
        <v>401</v>
      </c>
      <c r="E101" s="4" t="s">
        <v>406</v>
      </c>
      <c r="F101" s="7" t="n">
        <v>33.50368</v>
      </c>
      <c r="G101" s="7" t="n">
        <v>11.10972</v>
      </c>
      <c r="H101" s="8" t="s">
        <v>117</v>
      </c>
      <c r="I101" s="4"/>
      <c r="J101" s="4"/>
      <c r="K101" s="4" t="n">
        <v>0</v>
      </c>
      <c r="L101" s="4" t="n">
        <v>10</v>
      </c>
      <c r="M101" s="4" t="n">
        <v>0</v>
      </c>
      <c r="N101" s="4" t="s">
        <v>194</v>
      </c>
      <c r="O101" s="4" t="s">
        <v>309</v>
      </c>
      <c r="P101" s="4"/>
      <c r="Q101" s="4"/>
      <c r="R101" s="4" t="s">
        <v>71</v>
      </c>
      <c r="S101" s="4"/>
      <c r="T101" s="4"/>
      <c r="U101" s="4" t="s">
        <v>196</v>
      </c>
    </row>
    <row r="102" customFormat="false" ht="15" hidden="false" customHeight="false" outlineLevel="0" collapsed="false">
      <c r="A102" s="4" t="s">
        <v>40</v>
      </c>
      <c r="B102" s="4" t="s">
        <v>407</v>
      </c>
      <c r="C102" s="4" t="s">
        <v>96</v>
      </c>
      <c r="D102" s="4" t="s">
        <v>408</v>
      </c>
      <c r="E102" s="4" t="s">
        <v>409</v>
      </c>
      <c r="F102" s="7" t="n">
        <v>33.53934</v>
      </c>
      <c r="G102" s="7" t="n">
        <v>10.67419</v>
      </c>
      <c r="H102" s="8" t="s">
        <v>117</v>
      </c>
      <c r="I102" s="4"/>
      <c r="J102" s="4"/>
      <c r="K102" s="4" t="n">
        <v>1</v>
      </c>
      <c r="L102" s="4" t="n">
        <v>4</v>
      </c>
      <c r="M102" s="4" t="n">
        <v>2</v>
      </c>
      <c r="N102" s="4"/>
      <c r="O102" s="4" t="s">
        <v>309</v>
      </c>
      <c r="P102" s="4"/>
      <c r="Q102" s="4"/>
      <c r="R102" s="4" t="s">
        <v>71</v>
      </c>
      <c r="S102" s="4"/>
      <c r="T102" s="4"/>
      <c r="U102" s="4" t="s">
        <v>196</v>
      </c>
    </row>
    <row r="103" customFormat="false" ht="15" hidden="false" customHeight="false" outlineLevel="0" collapsed="false">
      <c r="A103" s="4" t="s">
        <v>40</v>
      </c>
      <c r="B103" s="4" t="s">
        <v>410</v>
      </c>
      <c r="C103" s="4" t="s">
        <v>96</v>
      </c>
      <c r="D103" s="4" t="s">
        <v>96</v>
      </c>
      <c r="E103" s="4" t="s">
        <v>411</v>
      </c>
      <c r="F103" s="7" t="n">
        <v>33.53934</v>
      </c>
      <c r="G103" s="7" t="n">
        <v>10.67419</v>
      </c>
      <c r="H103" s="8" t="s">
        <v>117</v>
      </c>
      <c r="I103" s="4"/>
      <c r="J103" s="4"/>
      <c r="K103" s="4" t="n">
        <v>0</v>
      </c>
      <c r="L103" s="4" t="n">
        <v>4</v>
      </c>
      <c r="M103" s="4" t="n">
        <v>2</v>
      </c>
      <c r="N103" s="4"/>
      <c r="O103" s="4" t="s">
        <v>309</v>
      </c>
      <c r="P103" s="4"/>
      <c r="Q103" s="4"/>
      <c r="R103" s="4" t="s">
        <v>71</v>
      </c>
      <c r="S103" s="4"/>
      <c r="T103" s="4"/>
      <c r="U103" s="4" t="s">
        <v>196</v>
      </c>
    </row>
    <row r="104" customFormat="false" ht="15" hidden="false" customHeight="false" outlineLevel="0" collapsed="false">
      <c r="A104" s="4" t="s">
        <v>40</v>
      </c>
      <c r="B104" s="4" t="s">
        <v>412</v>
      </c>
      <c r="C104" s="4" t="s">
        <v>96</v>
      </c>
      <c r="D104" s="4" t="s">
        <v>413</v>
      </c>
      <c r="E104" s="4" t="s">
        <v>414</v>
      </c>
      <c r="F104" s="7" t="n">
        <v>33.50368</v>
      </c>
      <c r="G104" s="7" t="n">
        <v>11.10972</v>
      </c>
      <c r="H104" s="8" t="s">
        <v>124</v>
      </c>
      <c r="I104" s="4"/>
      <c r="J104" s="4"/>
      <c r="K104" s="4" t="n">
        <v>0</v>
      </c>
      <c r="L104" s="4" t="n">
        <v>10</v>
      </c>
      <c r="M104" s="4" t="n">
        <v>0</v>
      </c>
      <c r="N104" s="4"/>
      <c r="O104" s="4" t="s">
        <v>309</v>
      </c>
      <c r="P104" s="4"/>
      <c r="Q104" s="4"/>
      <c r="R104" s="4" t="s">
        <v>71</v>
      </c>
      <c r="S104" s="4"/>
      <c r="T104" s="4"/>
      <c r="U104" s="4" t="s">
        <v>196</v>
      </c>
    </row>
    <row r="105" customFormat="false" ht="15" hidden="false" customHeight="false" outlineLevel="0" collapsed="false">
      <c r="A105" s="4" t="s">
        <v>40</v>
      </c>
      <c r="B105" s="4" t="s">
        <v>415</v>
      </c>
      <c r="C105" s="4" t="s">
        <v>96</v>
      </c>
      <c r="D105" s="4" t="s">
        <v>413</v>
      </c>
      <c r="E105" s="4" t="s">
        <v>416</v>
      </c>
      <c r="F105" s="7" t="n">
        <v>33.61524</v>
      </c>
      <c r="G105" s="7" t="n">
        <v>11.02398</v>
      </c>
      <c r="H105" s="8" t="s">
        <v>238</v>
      </c>
      <c r="I105" s="4"/>
      <c r="J105" s="4"/>
      <c r="K105" s="4" t="n">
        <v>0</v>
      </c>
      <c r="L105" s="4" t="n">
        <v>12</v>
      </c>
      <c r="M105" s="4" t="n">
        <v>0</v>
      </c>
      <c r="N105" s="4"/>
      <c r="O105" s="4" t="s">
        <v>309</v>
      </c>
      <c r="P105" s="4"/>
      <c r="Q105" s="4"/>
      <c r="R105" s="4" t="s">
        <v>71</v>
      </c>
      <c r="S105" s="4"/>
      <c r="T105" s="4"/>
      <c r="U105" s="4" t="s">
        <v>196</v>
      </c>
    </row>
    <row r="106" customFormat="false" ht="15" hidden="false" customHeight="false" outlineLevel="0" collapsed="false">
      <c r="A106" s="4" t="s">
        <v>40</v>
      </c>
      <c r="B106" s="4" t="s">
        <v>417</v>
      </c>
      <c r="C106" s="4" t="s">
        <v>96</v>
      </c>
      <c r="D106" s="4" t="s">
        <v>418</v>
      </c>
      <c r="E106" s="4" t="s">
        <v>419</v>
      </c>
      <c r="F106" s="7" t="n">
        <v>33.85367</v>
      </c>
      <c r="G106" s="7" t="n">
        <v>10.83274</v>
      </c>
      <c r="H106" s="8" t="s">
        <v>238</v>
      </c>
      <c r="I106" s="4"/>
      <c r="J106" s="4"/>
      <c r="K106" s="4" t="n">
        <v>1</v>
      </c>
      <c r="L106" s="4" t="n">
        <v>14</v>
      </c>
      <c r="M106" s="4" t="n">
        <v>7</v>
      </c>
      <c r="N106" s="4"/>
      <c r="O106" s="4" t="s">
        <v>309</v>
      </c>
      <c r="P106" s="4"/>
      <c r="Q106" s="4"/>
      <c r="R106" s="4" t="s">
        <v>71</v>
      </c>
      <c r="S106" s="4"/>
      <c r="T106" s="4"/>
      <c r="U106" s="4" t="s">
        <v>196</v>
      </c>
    </row>
    <row r="107" customFormat="false" ht="15" hidden="false" customHeight="false" outlineLevel="0" collapsed="false">
      <c r="A107" s="4" t="s">
        <v>40</v>
      </c>
      <c r="B107" s="4" t="s">
        <v>420</v>
      </c>
      <c r="C107" s="4" t="s">
        <v>96</v>
      </c>
      <c r="D107" s="4" t="s">
        <v>418</v>
      </c>
      <c r="E107" s="4" t="s">
        <v>421</v>
      </c>
      <c r="F107" s="7" t="n">
        <v>33.87599</v>
      </c>
      <c r="G107" s="7" t="n">
        <v>10.85715</v>
      </c>
      <c r="H107" s="8" t="s">
        <v>117</v>
      </c>
      <c r="I107" s="4"/>
      <c r="J107" s="4"/>
      <c r="K107" s="4" t="n">
        <v>1</v>
      </c>
      <c r="L107" s="4" t="n">
        <v>16</v>
      </c>
      <c r="M107" s="4" t="n">
        <v>7</v>
      </c>
      <c r="N107" s="4"/>
      <c r="O107" s="4" t="s">
        <v>309</v>
      </c>
      <c r="P107" s="4"/>
      <c r="Q107" s="4"/>
      <c r="R107" s="4" t="s">
        <v>71</v>
      </c>
      <c r="S107" s="4"/>
      <c r="T107" s="4"/>
      <c r="U107" s="4" t="s">
        <v>196</v>
      </c>
    </row>
    <row r="108" customFormat="false" ht="15" hidden="false" customHeight="false" outlineLevel="0" collapsed="false">
      <c r="A108" s="4" t="s">
        <v>40</v>
      </c>
      <c r="B108" s="4" t="s">
        <v>422</v>
      </c>
      <c r="C108" s="4" t="s">
        <v>96</v>
      </c>
      <c r="D108" s="4" t="s">
        <v>423</v>
      </c>
      <c r="E108" s="4" t="s">
        <v>424</v>
      </c>
      <c r="F108" s="7" t="n">
        <v>33.81571</v>
      </c>
      <c r="G108" s="7" t="n">
        <v>11.0176</v>
      </c>
      <c r="H108" s="8" t="s">
        <v>238</v>
      </c>
      <c r="I108" s="4"/>
      <c r="J108" s="4"/>
      <c r="K108" s="4" t="n">
        <v>1</v>
      </c>
      <c r="L108" s="4" t="n">
        <v>14</v>
      </c>
      <c r="M108" s="4" t="n">
        <v>3</v>
      </c>
      <c r="N108" s="4"/>
      <c r="O108" s="4" t="s">
        <v>309</v>
      </c>
      <c r="P108" s="4"/>
      <c r="Q108" s="4"/>
      <c r="R108" s="4" t="s">
        <v>71</v>
      </c>
      <c r="S108" s="4"/>
      <c r="T108" s="4"/>
      <c r="U108" s="4" t="s">
        <v>196</v>
      </c>
    </row>
    <row r="109" customFormat="false" ht="15" hidden="false" customHeight="false" outlineLevel="0" collapsed="false">
      <c r="A109" s="4" t="s">
        <v>40</v>
      </c>
      <c r="B109" s="4" t="s">
        <v>425</v>
      </c>
      <c r="C109" s="4" t="s">
        <v>96</v>
      </c>
      <c r="D109" s="4" t="s">
        <v>423</v>
      </c>
      <c r="E109" s="4" t="s">
        <v>426</v>
      </c>
      <c r="F109" s="7" t="n">
        <v>33.81571</v>
      </c>
      <c r="G109" s="7" t="n">
        <v>11.0176</v>
      </c>
      <c r="H109" s="8" t="s">
        <v>238</v>
      </c>
      <c r="I109" s="4"/>
      <c r="J109" s="4"/>
      <c r="K109" s="4" t="n">
        <v>1</v>
      </c>
      <c r="L109" s="4" t="n">
        <v>12</v>
      </c>
      <c r="M109" s="4" t="n">
        <v>1</v>
      </c>
      <c r="N109" s="4"/>
      <c r="O109" s="4" t="s">
        <v>309</v>
      </c>
      <c r="P109" s="4"/>
      <c r="Q109" s="4"/>
      <c r="R109" s="4" t="s">
        <v>71</v>
      </c>
      <c r="S109" s="4"/>
      <c r="T109" s="4"/>
      <c r="U109" s="4" t="s">
        <v>196</v>
      </c>
    </row>
    <row r="110" customFormat="false" ht="15" hidden="false" customHeight="false" outlineLevel="0" collapsed="false">
      <c r="A110" s="4" t="s">
        <v>40</v>
      </c>
      <c r="B110" s="4" t="s">
        <v>427</v>
      </c>
      <c r="C110" s="4" t="s">
        <v>96</v>
      </c>
      <c r="D110" s="4" t="s">
        <v>423</v>
      </c>
      <c r="E110" s="4" t="s">
        <v>428</v>
      </c>
      <c r="F110" s="7" t="n">
        <v>33.7652</v>
      </c>
      <c r="G110" s="7" t="n">
        <v>11.01736</v>
      </c>
      <c r="H110" s="8" t="s">
        <v>238</v>
      </c>
      <c r="I110" s="4"/>
      <c r="J110" s="4"/>
      <c r="K110" s="4" t="n">
        <v>1</v>
      </c>
      <c r="L110" s="4" t="n">
        <v>10</v>
      </c>
      <c r="M110" s="4" t="n">
        <v>1</v>
      </c>
      <c r="N110" s="4"/>
      <c r="O110" s="4" t="s">
        <v>309</v>
      </c>
      <c r="P110" s="4"/>
      <c r="Q110" s="4"/>
      <c r="R110" s="4" t="s">
        <v>71</v>
      </c>
      <c r="S110" s="4"/>
      <c r="T110" s="4"/>
      <c r="U110" s="4" t="s">
        <v>196</v>
      </c>
    </row>
    <row r="111" customFormat="false" ht="15" hidden="false" customHeight="false" outlineLevel="0" collapsed="false">
      <c r="A111" s="4" t="s">
        <v>40</v>
      </c>
      <c r="B111" s="4" t="s">
        <v>429</v>
      </c>
      <c r="C111" s="4" t="s">
        <v>73</v>
      </c>
      <c r="D111" s="4" t="s">
        <v>73</v>
      </c>
      <c r="E111" s="4" t="s">
        <v>430</v>
      </c>
      <c r="F111" s="7" t="n">
        <v>36.45129</v>
      </c>
      <c r="G111" s="7" t="n">
        <v>10.73559</v>
      </c>
      <c r="H111" s="8" t="s">
        <v>431</v>
      </c>
      <c r="I111" s="4"/>
      <c r="J111" s="4"/>
      <c r="K111" s="4" t="n">
        <v>1</v>
      </c>
      <c r="L111" s="4" t="n">
        <v>6</v>
      </c>
      <c r="M111" s="4" t="n">
        <v>2</v>
      </c>
      <c r="N111" s="4" t="s">
        <v>194</v>
      </c>
      <c r="O111" s="4" t="s">
        <v>309</v>
      </c>
      <c r="P111" s="4"/>
      <c r="Q111" s="4"/>
      <c r="R111" s="4" t="s">
        <v>71</v>
      </c>
      <c r="S111" s="4"/>
      <c r="T111" s="4"/>
      <c r="U111" s="4" t="s">
        <v>196</v>
      </c>
    </row>
    <row r="112" customFormat="false" ht="15" hidden="false" customHeight="false" outlineLevel="0" collapsed="false">
      <c r="A112" s="4" t="s">
        <v>40</v>
      </c>
      <c r="B112" s="4" t="s">
        <v>432</v>
      </c>
      <c r="C112" s="4" t="s">
        <v>73</v>
      </c>
      <c r="D112" s="4" t="s">
        <v>73</v>
      </c>
      <c r="E112" s="4" t="s">
        <v>433</v>
      </c>
      <c r="F112" s="7" t="n">
        <v>36.45129</v>
      </c>
      <c r="G112" s="7" t="n">
        <v>10.73559</v>
      </c>
      <c r="H112" s="8" t="s">
        <v>431</v>
      </c>
      <c r="I112" s="4"/>
      <c r="J112" s="4"/>
      <c r="K112" s="4" t="n">
        <v>1</v>
      </c>
      <c r="L112" s="4" t="n">
        <v>10</v>
      </c>
      <c r="M112" s="4" t="n">
        <v>2</v>
      </c>
      <c r="N112" s="4" t="s">
        <v>194</v>
      </c>
      <c r="O112" s="4" t="s">
        <v>309</v>
      </c>
      <c r="P112" s="4"/>
      <c r="Q112" s="4"/>
      <c r="R112" s="4" t="s">
        <v>71</v>
      </c>
      <c r="S112" s="4"/>
      <c r="T112" s="4"/>
      <c r="U112" s="4" t="s">
        <v>196</v>
      </c>
    </row>
    <row r="113" customFormat="false" ht="15" hidden="false" customHeight="false" outlineLevel="0" collapsed="false">
      <c r="A113" s="4" t="s">
        <v>40</v>
      </c>
      <c r="B113" s="4" t="s">
        <v>434</v>
      </c>
      <c r="C113" s="4" t="s">
        <v>73</v>
      </c>
      <c r="D113" s="4" t="s">
        <v>73</v>
      </c>
      <c r="E113" s="4" t="s">
        <v>435</v>
      </c>
      <c r="F113" s="7" t="n">
        <v>36.45129</v>
      </c>
      <c r="G113" s="7" t="n">
        <v>10.73559</v>
      </c>
      <c r="H113" s="8" t="s">
        <v>431</v>
      </c>
      <c r="I113" s="4"/>
      <c r="J113" s="4"/>
      <c r="K113" s="4" t="n">
        <v>1</v>
      </c>
      <c r="L113" s="4" t="n">
        <v>4</v>
      </c>
      <c r="M113" s="4" t="n">
        <v>0</v>
      </c>
      <c r="N113" s="4" t="s">
        <v>194</v>
      </c>
      <c r="O113" s="4" t="s">
        <v>309</v>
      </c>
      <c r="P113" s="4"/>
      <c r="Q113" s="4"/>
      <c r="R113" s="4" t="s">
        <v>71</v>
      </c>
      <c r="S113" s="4"/>
      <c r="T113" s="4"/>
      <c r="U113" s="4" t="s">
        <v>196</v>
      </c>
    </row>
    <row r="114" customFormat="false" ht="15" hidden="false" customHeight="false" outlineLevel="0" collapsed="false">
      <c r="A114" s="4" t="s">
        <v>40</v>
      </c>
      <c r="B114" s="4" t="s">
        <v>436</v>
      </c>
      <c r="C114" s="4" t="s">
        <v>73</v>
      </c>
      <c r="D114" s="4" t="s">
        <v>73</v>
      </c>
      <c r="E114" s="4" t="s">
        <v>437</v>
      </c>
      <c r="F114" s="7" t="n">
        <v>36.45129</v>
      </c>
      <c r="G114" s="7" t="n">
        <v>10.73559</v>
      </c>
      <c r="H114" s="8" t="s">
        <v>431</v>
      </c>
      <c r="I114" s="4"/>
      <c r="J114" s="4"/>
      <c r="K114" s="4" t="n">
        <v>1</v>
      </c>
      <c r="L114" s="4" t="n">
        <v>2</v>
      </c>
      <c r="M114" s="4" t="n">
        <v>1</v>
      </c>
      <c r="N114" s="4" t="s">
        <v>194</v>
      </c>
      <c r="O114" s="4" t="s">
        <v>309</v>
      </c>
      <c r="P114" s="4"/>
      <c r="Q114" s="4"/>
      <c r="R114" s="4" t="s">
        <v>71</v>
      </c>
      <c r="S114" s="4"/>
      <c r="T114" s="4"/>
      <c r="U114" s="4" t="s">
        <v>196</v>
      </c>
    </row>
    <row r="115" customFormat="false" ht="15" hidden="false" customHeight="false" outlineLevel="0" collapsed="false">
      <c r="A115" s="4" t="s">
        <v>40</v>
      </c>
      <c r="B115" s="4" t="s">
        <v>438</v>
      </c>
      <c r="C115" s="4" t="s">
        <v>73</v>
      </c>
      <c r="D115" s="4" t="s">
        <v>73</v>
      </c>
      <c r="E115" s="4" t="s">
        <v>439</v>
      </c>
      <c r="F115" s="7" t="n">
        <v>36.45129</v>
      </c>
      <c r="G115" s="7" t="n">
        <v>10.73559</v>
      </c>
      <c r="H115" s="8" t="s">
        <v>431</v>
      </c>
      <c r="I115" s="4"/>
      <c r="J115" s="4"/>
      <c r="K115" s="4" t="n">
        <v>0</v>
      </c>
      <c r="L115" s="4" t="n">
        <v>4</v>
      </c>
      <c r="M115" s="4" t="n">
        <v>0</v>
      </c>
      <c r="N115" s="4" t="s">
        <v>194</v>
      </c>
      <c r="O115" s="4" t="s">
        <v>309</v>
      </c>
      <c r="P115" s="4"/>
      <c r="Q115" s="4"/>
      <c r="R115" s="4" t="s">
        <v>71</v>
      </c>
      <c r="S115" s="4"/>
      <c r="T115" s="4"/>
      <c r="U115" s="4" t="s">
        <v>196</v>
      </c>
    </row>
    <row r="116" customFormat="false" ht="15" hidden="false" customHeight="false" outlineLevel="0" collapsed="false">
      <c r="A116" s="4" t="s">
        <v>40</v>
      </c>
      <c r="B116" s="4" t="s">
        <v>440</v>
      </c>
      <c r="C116" s="4" t="s">
        <v>73</v>
      </c>
      <c r="D116" s="4" t="s">
        <v>73</v>
      </c>
      <c r="E116" s="4" t="s">
        <v>441</v>
      </c>
      <c r="F116" s="7" t="n">
        <v>36.45129</v>
      </c>
      <c r="G116" s="7" t="n">
        <v>10.73559</v>
      </c>
      <c r="H116" s="8" t="s">
        <v>431</v>
      </c>
      <c r="I116" s="4"/>
      <c r="J116" s="4"/>
      <c r="K116" s="4" t="n">
        <v>0</v>
      </c>
      <c r="L116" s="4" t="n">
        <v>2</v>
      </c>
      <c r="M116" s="4" t="n">
        <v>0</v>
      </c>
      <c r="N116" s="4" t="s">
        <v>194</v>
      </c>
      <c r="O116" s="4" t="s">
        <v>309</v>
      </c>
      <c r="P116" s="4"/>
      <c r="Q116" s="4"/>
      <c r="R116" s="4" t="s">
        <v>71</v>
      </c>
      <c r="S116" s="4"/>
      <c r="T116" s="4"/>
      <c r="U116" s="4" t="s">
        <v>196</v>
      </c>
    </row>
    <row r="117" customFormat="false" ht="15" hidden="false" customHeight="false" outlineLevel="0" collapsed="false">
      <c r="A117" s="4" t="s">
        <v>40</v>
      </c>
      <c r="B117" s="4" t="s">
        <v>442</v>
      </c>
      <c r="C117" s="4" t="s">
        <v>73</v>
      </c>
      <c r="D117" s="4" t="s">
        <v>73</v>
      </c>
      <c r="E117" s="4" t="s">
        <v>443</v>
      </c>
      <c r="F117" s="7" t="n">
        <v>36.45129</v>
      </c>
      <c r="G117" s="7" t="n">
        <v>10.73559</v>
      </c>
      <c r="H117" s="8" t="s">
        <v>431</v>
      </c>
      <c r="I117" s="4"/>
      <c r="J117" s="4"/>
      <c r="K117" s="4" t="n">
        <v>1</v>
      </c>
      <c r="L117" s="4" t="n">
        <v>6</v>
      </c>
      <c r="M117" s="4" t="n">
        <v>1</v>
      </c>
      <c r="N117" s="4" t="s">
        <v>194</v>
      </c>
      <c r="O117" s="4" t="s">
        <v>309</v>
      </c>
      <c r="P117" s="4"/>
      <c r="Q117" s="4"/>
      <c r="R117" s="4" t="s">
        <v>71</v>
      </c>
      <c r="S117" s="4"/>
      <c r="T117" s="4"/>
      <c r="U117" s="4" t="s">
        <v>196</v>
      </c>
    </row>
    <row r="118" customFormat="false" ht="15" hidden="false" customHeight="false" outlineLevel="0" collapsed="false">
      <c r="A118" s="4" t="s">
        <v>40</v>
      </c>
      <c r="B118" s="4" t="s">
        <v>444</v>
      </c>
      <c r="C118" s="4" t="s">
        <v>73</v>
      </c>
      <c r="D118" s="4" t="s">
        <v>73</v>
      </c>
      <c r="E118" s="4" t="s">
        <v>445</v>
      </c>
      <c r="F118" s="7" t="n">
        <v>36.45129</v>
      </c>
      <c r="G118" s="7" t="n">
        <v>10.73559</v>
      </c>
      <c r="H118" s="8" t="s">
        <v>431</v>
      </c>
      <c r="I118" s="4"/>
      <c r="J118" s="4"/>
      <c r="K118" s="4" t="n">
        <v>0</v>
      </c>
      <c r="L118" s="4" t="n">
        <v>4</v>
      </c>
      <c r="M118" s="4" t="n">
        <v>0</v>
      </c>
      <c r="N118" s="4" t="s">
        <v>194</v>
      </c>
      <c r="O118" s="4" t="s">
        <v>309</v>
      </c>
      <c r="P118" s="4"/>
      <c r="Q118" s="4"/>
      <c r="R118" s="4" t="s">
        <v>71</v>
      </c>
      <c r="S118" s="4"/>
      <c r="T118" s="4"/>
      <c r="U118" s="4" t="s">
        <v>196</v>
      </c>
    </row>
    <row r="119" customFormat="false" ht="15" hidden="false" customHeight="false" outlineLevel="0" collapsed="false">
      <c r="A119" s="4" t="s">
        <v>40</v>
      </c>
      <c r="B119" s="4" t="s">
        <v>446</v>
      </c>
      <c r="C119" s="4" t="s">
        <v>73</v>
      </c>
      <c r="D119" s="4" t="s">
        <v>73</v>
      </c>
      <c r="E119" s="4" t="s">
        <v>447</v>
      </c>
      <c r="F119" s="7" t="n">
        <v>36.45129</v>
      </c>
      <c r="G119" s="7" t="n">
        <v>10.73559</v>
      </c>
      <c r="H119" s="8" t="s">
        <v>431</v>
      </c>
      <c r="I119" s="4"/>
      <c r="J119" s="4"/>
      <c r="K119" s="4" t="n">
        <v>0</v>
      </c>
      <c r="L119" s="4" t="n">
        <v>4</v>
      </c>
      <c r="M119" s="4" t="n">
        <v>0</v>
      </c>
      <c r="N119" s="4" t="s">
        <v>194</v>
      </c>
      <c r="O119" s="4" t="s">
        <v>309</v>
      </c>
      <c r="P119" s="4"/>
      <c r="Q119" s="4"/>
      <c r="R119" s="4" t="s">
        <v>71</v>
      </c>
      <c r="S119" s="4"/>
      <c r="T119" s="4"/>
      <c r="U119" s="4" t="s">
        <v>196</v>
      </c>
    </row>
    <row r="120" customFormat="false" ht="15" hidden="false" customHeight="false" outlineLevel="0" collapsed="false">
      <c r="A120" s="4" t="s">
        <v>40</v>
      </c>
      <c r="B120" s="4" t="s">
        <v>448</v>
      </c>
      <c r="C120" s="4" t="s">
        <v>73</v>
      </c>
      <c r="D120" s="4" t="s">
        <v>73</v>
      </c>
      <c r="E120" s="4" t="s">
        <v>449</v>
      </c>
      <c r="F120" s="7" t="n">
        <v>36.45129</v>
      </c>
      <c r="G120" s="7" t="n">
        <v>10.73559</v>
      </c>
      <c r="H120" s="8" t="s">
        <v>431</v>
      </c>
      <c r="I120" s="4"/>
      <c r="J120" s="4"/>
      <c r="K120" s="4" t="n">
        <v>0</v>
      </c>
      <c r="L120" s="4" t="n">
        <v>2</v>
      </c>
      <c r="M120" s="4" t="n">
        <v>1</v>
      </c>
      <c r="N120" s="4" t="s">
        <v>194</v>
      </c>
      <c r="O120" s="4" t="s">
        <v>309</v>
      </c>
      <c r="P120" s="4"/>
      <c r="Q120" s="4"/>
      <c r="R120" s="4" t="s">
        <v>71</v>
      </c>
      <c r="S120" s="4"/>
      <c r="T120" s="4"/>
      <c r="U120" s="4" t="s">
        <v>196</v>
      </c>
    </row>
    <row r="121" customFormat="false" ht="15" hidden="false" customHeight="false" outlineLevel="0" collapsed="false">
      <c r="A121" s="4" t="s">
        <v>40</v>
      </c>
      <c r="B121" s="4" t="s">
        <v>450</v>
      </c>
      <c r="C121" s="4" t="s">
        <v>73</v>
      </c>
      <c r="D121" s="4" t="s">
        <v>451</v>
      </c>
      <c r="E121" s="4" t="s">
        <v>452</v>
      </c>
      <c r="F121" s="4"/>
      <c r="G121" s="4"/>
      <c r="H121" s="8" t="s">
        <v>143</v>
      </c>
      <c r="I121" s="4"/>
      <c r="J121" s="4"/>
      <c r="K121" s="4" t="n">
        <v>0</v>
      </c>
      <c r="L121" s="4" t="n">
        <v>6</v>
      </c>
      <c r="M121" s="4" t="n">
        <v>2</v>
      </c>
      <c r="N121" s="4"/>
      <c r="O121" s="4" t="s">
        <v>309</v>
      </c>
      <c r="P121" s="4"/>
      <c r="Q121" s="4"/>
      <c r="R121" s="4" t="s">
        <v>71</v>
      </c>
      <c r="S121" s="4"/>
      <c r="T121" s="4"/>
      <c r="U121" s="4" t="s">
        <v>196</v>
      </c>
    </row>
    <row r="122" customFormat="false" ht="15" hidden="false" customHeight="false" outlineLevel="0" collapsed="false">
      <c r="A122" s="4" t="s">
        <v>40</v>
      </c>
      <c r="B122" s="4" t="s">
        <v>453</v>
      </c>
      <c r="C122" s="4" t="s">
        <v>73</v>
      </c>
      <c r="D122" s="4" t="s">
        <v>451</v>
      </c>
      <c r="E122" s="4" t="s">
        <v>454</v>
      </c>
      <c r="F122" s="4"/>
      <c r="G122" s="4"/>
      <c r="H122" s="8" t="s">
        <v>143</v>
      </c>
      <c r="I122" s="4"/>
      <c r="J122" s="4"/>
      <c r="K122" s="4" t="n">
        <v>1</v>
      </c>
      <c r="L122" s="4" t="n">
        <v>6</v>
      </c>
      <c r="M122" s="4" t="n">
        <v>5</v>
      </c>
      <c r="N122" s="4"/>
      <c r="O122" s="4" t="s">
        <v>309</v>
      </c>
      <c r="P122" s="4"/>
      <c r="Q122" s="4"/>
      <c r="R122" s="4" t="s">
        <v>71</v>
      </c>
      <c r="S122" s="4"/>
      <c r="T122" s="4"/>
      <c r="U122" s="4" t="s">
        <v>196</v>
      </c>
    </row>
    <row r="123" customFormat="false" ht="15" hidden="false" customHeight="false" outlineLevel="0" collapsed="false">
      <c r="A123" s="4" t="s">
        <v>40</v>
      </c>
      <c r="B123" s="4" t="s">
        <v>455</v>
      </c>
      <c r="C123" s="4" t="s">
        <v>73</v>
      </c>
      <c r="D123" s="4" t="s">
        <v>451</v>
      </c>
      <c r="E123" s="4" t="s">
        <v>456</v>
      </c>
      <c r="F123" s="7" t="n">
        <v>36.89469</v>
      </c>
      <c r="G123" s="7" t="n">
        <v>10.73303</v>
      </c>
      <c r="H123" s="8" t="s">
        <v>213</v>
      </c>
      <c r="I123" s="4"/>
      <c r="J123" s="4"/>
      <c r="K123" s="4" t="n">
        <v>0</v>
      </c>
      <c r="L123" s="4" t="n">
        <v>4</v>
      </c>
      <c r="M123" s="4" t="n">
        <v>3</v>
      </c>
      <c r="N123" s="4"/>
      <c r="O123" s="4" t="s">
        <v>309</v>
      </c>
      <c r="P123" s="4"/>
      <c r="Q123" s="4"/>
      <c r="R123" s="4" t="s">
        <v>71</v>
      </c>
      <c r="S123" s="4"/>
      <c r="T123" s="4"/>
      <c r="U123" s="4" t="s">
        <v>196</v>
      </c>
    </row>
    <row r="124" customFormat="false" ht="15" hidden="false" customHeight="false" outlineLevel="0" collapsed="false">
      <c r="A124" s="4" t="s">
        <v>40</v>
      </c>
      <c r="B124" s="4" t="s">
        <v>457</v>
      </c>
      <c r="C124" s="4" t="s">
        <v>73</v>
      </c>
      <c r="D124" s="4" t="s">
        <v>458</v>
      </c>
      <c r="E124" s="4" t="s">
        <v>459</v>
      </c>
      <c r="F124" s="7" t="n">
        <v>36.39415</v>
      </c>
      <c r="G124" s="7" t="n">
        <v>10.61768</v>
      </c>
      <c r="H124" s="8" t="s">
        <v>213</v>
      </c>
      <c r="I124" s="4"/>
      <c r="J124" s="4"/>
      <c r="K124" s="4" t="n">
        <v>1</v>
      </c>
      <c r="L124" s="4" t="n">
        <v>6</v>
      </c>
      <c r="M124" s="4" t="n">
        <v>2</v>
      </c>
      <c r="N124" s="4" t="s">
        <v>194</v>
      </c>
      <c r="O124" s="4" t="s">
        <v>309</v>
      </c>
      <c r="P124" s="4"/>
      <c r="Q124" s="4"/>
      <c r="R124" s="4" t="s">
        <v>71</v>
      </c>
      <c r="S124" s="4"/>
      <c r="T124" s="4"/>
      <c r="U124" s="4" t="s">
        <v>196</v>
      </c>
    </row>
    <row r="125" customFormat="false" ht="15" hidden="false" customHeight="false" outlineLevel="0" collapsed="false">
      <c r="A125" s="4" t="s">
        <v>40</v>
      </c>
      <c r="B125" s="4" t="s">
        <v>460</v>
      </c>
      <c r="C125" s="4" t="s">
        <v>73</v>
      </c>
      <c r="D125" s="4" t="s">
        <v>458</v>
      </c>
      <c r="E125" s="4" t="s">
        <v>461</v>
      </c>
      <c r="F125" s="7" t="n">
        <v>36.39415</v>
      </c>
      <c r="G125" s="7" t="n">
        <v>10.61768</v>
      </c>
      <c r="H125" s="8" t="s">
        <v>213</v>
      </c>
      <c r="I125" s="4"/>
      <c r="J125" s="4"/>
      <c r="K125" s="4" t="n">
        <v>1</v>
      </c>
      <c r="L125" s="4" t="n">
        <v>7</v>
      </c>
      <c r="M125" s="4" t="n">
        <v>2</v>
      </c>
      <c r="N125" s="4" t="s">
        <v>194</v>
      </c>
      <c r="O125" s="4" t="s">
        <v>309</v>
      </c>
      <c r="P125" s="4"/>
      <c r="Q125" s="4"/>
      <c r="R125" s="4" t="s">
        <v>71</v>
      </c>
      <c r="S125" s="4"/>
      <c r="T125" s="4"/>
      <c r="U125" s="4" t="s">
        <v>196</v>
      </c>
    </row>
    <row r="126" customFormat="false" ht="15" hidden="false" customHeight="false" outlineLevel="0" collapsed="false">
      <c r="A126" s="4" t="s">
        <v>40</v>
      </c>
      <c r="B126" s="4" t="s">
        <v>462</v>
      </c>
      <c r="C126" s="4" t="s">
        <v>73</v>
      </c>
      <c r="D126" s="4" t="s">
        <v>458</v>
      </c>
      <c r="E126" s="4" t="s">
        <v>463</v>
      </c>
      <c r="F126" s="7" t="n">
        <v>36.39415</v>
      </c>
      <c r="G126" s="7" t="n">
        <v>10.61768</v>
      </c>
      <c r="H126" s="8" t="s">
        <v>213</v>
      </c>
      <c r="I126" s="4"/>
      <c r="J126" s="4"/>
      <c r="K126" s="4" t="n">
        <v>0</v>
      </c>
      <c r="L126" s="4" t="n">
        <v>7</v>
      </c>
      <c r="M126" s="4" t="n">
        <v>2</v>
      </c>
      <c r="N126" s="4" t="s">
        <v>194</v>
      </c>
      <c r="O126" s="4" t="s">
        <v>309</v>
      </c>
      <c r="P126" s="4"/>
      <c r="Q126" s="4"/>
      <c r="R126" s="4" t="s">
        <v>71</v>
      </c>
      <c r="S126" s="4"/>
      <c r="T126" s="4"/>
      <c r="U126" s="4" t="s">
        <v>196</v>
      </c>
    </row>
    <row r="127" customFormat="false" ht="15" hidden="false" customHeight="false" outlineLevel="0" collapsed="false">
      <c r="A127" s="4" t="s">
        <v>40</v>
      </c>
      <c r="B127" s="4" t="s">
        <v>464</v>
      </c>
      <c r="C127" s="4" t="s">
        <v>73</v>
      </c>
      <c r="D127" s="4" t="s">
        <v>458</v>
      </c>
      <c r="E127" s="4" t="s">
        <v>465</v>
      </c>
      <c r="F127" s="7" t="n">
        <v>36.39415</v>
      </c>
      <c r="G127" s="7" t="n">
        <v>10.61768</v>
      </c>
      <c r="H127" s="8" t="s">
        <v>213</v>
      </c>
      <c r="I127" s="4"/>
      <c r="J127" s="4"/>
      <c r="K127" s="4" t="n">
        <v>0</v>
      </c>
      <c r="L127" s="4" t="n">
        <v>4</v>
      </c>
      <c r="M127" s="4" t="n">
        <v>1</v>
      </c>
      <c r="N127" s="4" t="s">
        <v>194</v>
      </c>
      <c r="O127" s="4" t="s">
        <v>309</v>
      </c>
      <c r="P127" s="4"/>
      <c r="Q127" s="4"/>
      <c r="R127" s="4" t="s">
        <v>71</v>
      </c>
      <c r="S127" s="4"/>
      <c r="T127" s="4"/>
      <c r="U127" s="4" t="s">
        <v>196</v>
      </c>
    </row>
    <row r="128" customFormat="false" ht="15" hidden="false" customHeight="false" outlineLevel="0" collapsed="false">
      <c r="A128" s="4" t="s">
        <v>40</v>
      </c>
      <c r="B128" s="4" t="s">
        <v>466</v>
      </c>
      <c r="C128" s="4" t="s">
        <v>73</v>
      </c>
      <c r="D128" s="4" t="s">
        <v>458</v>
      </c>
      <c r="E128" s="4" t="s">
        <v>467</v>
      </c>
      <c r="F128" s="7" t="n">
        <v>36.39415</v>
      </c>
      <c r="G128" s="7" t="n">
        <v>10.61768</v>
      </c>
      <c r="H128" s="8" t="s">
        <v>213</v>
      </c>
      <c r="I128" s="4"/>
      <c r="J128" s="4"/>
      <c r="K128" s="4" t="n">
        <v>0</v>
      </c>
      <c r="L128" s="4" t="n">
        <v>6</v>
      </c>
      <c r="M128" s="4" t="n">
        <v>1</v>
      </c>
      <c r="N128" s="4" t="s">
        <v>194</v>
      </c>
      <c r="O128" s="4" t="s">
        <v>309</v>
      </c>
      <c r="P128" s="4"/>
      <c r="Q128" s="4"/>
      <c r="R128" s="4" t="s">
        <v>71</v>
      </c>
      <c r="S128" s="4"/>
      <c r="T128" s="4"/>
      <c r="U128" s="4" t="s">
        <v>196</v>
      </c>
    </row>
    <row r="129" customFormat="false" ht="15" hidden="false" customHeight="false" outlineLevel="0" collapsed="false">
      <c r="A129" s="4" t="s">
        <v>40</v>
      </c>
      <c r="B129" s="4" t="s">
        <v>468</v>
      </c>
      <c r="C129" s="4" t="s">
        <v>73</v>
      </c>
      <c r="D129" s="4" t="s">
        <v>469</v>
      </c>
      <c r="E129" s="4" t="s">
        <v>470</v>
      </c>
      <c r="F129" s="7" t="n">
        <v>36.84751</v>
      </c>
      <c r="G129" s="7" t="n">
        <v>11.12427</v>
      </c>
      <c r="H129" s="8" t="s">
        <v>213</v>
      </c>
      <c r="I129" s="4"/>
      <c r="J129" s="4"/>
      <c r="K129" s="4" t="n">
        <v>0</v>
      </c>
      <c r="L129" s="4" t="n">
        <v>8</v>
      </c>
      <c r="M129" s="4" t="n">
        <v>4</v>
      </c>
      <c r="N129" s="4" t="s">
        <v>194</v>
      </c>
      <c r="O129" s="4" t="s">
        <v>309</v>
      </c>
      <c r="P129" s="4"/>
      <c r="Q129" s="4"/>
      <c r="R129" s="4" t="s">
        <v>71</v>
      </c>
      <c r="S129" s="4"/>
      <c r="T129" s="4"/>
      <c r="U129" s="4" t="s">
        <v>196</v>
      </c>
    </row>
    <row r="130" customFormat="false" ht="15" hidden="false" customHeight="false" outlineLevel="0" collapsed="false">
      <c r="A130" s="4" t="s">
        <v>40</v>
      </c>
      <c r="B130" s="4" t="s">
        <v>471</v>
      </c>
      <c r="C130" s="4" t="s">
        <v>73</v>
      </c>
      <c r="D130" s="4" t="s">
        <v>469</v>
      </c>
      <c r="E130" s="4" t="s">
        <v>472</v>
      </c>
      <c r="F130" s="7" t="n">
        <v>36.84566</v>
      </c>
      <c r="G130" s="7" t="n">
        <v>11.09357</v>
      </c>
      <c r="H130" s="8" t="s">
        <v>431</v>
      </c>
      <c r="I130" s="4"/>
      <c r="J130" s="4"/>
      <c r="K130" s="4" t="n">
        <v>0</v>
      </c>
      <c r="L130" s="4" t="n">
        <v>8</v>
      </c>
      <c r="M130" s="4" t="n">
        <v>4</v>
      </c>
      <c r="N130" s="4" t="s">
        <v>194</v>
      </c>
      <c r="O130" s="4" t="s">
        <v>309</v>
      </c>
      <c r="P130" s="4"/>
      <c r="Q130" s="4"/>
      <c r="R130" s="4" t="s">
        <v>71</v>
      </c>
      <c r="S130" s="4"/>
      <c r="T130" s="4"/>
      <c r="U130" s="4" t="s">
        <v>196</v>
      </c>
    </row>
    <row r="131" customFormat="false" ht="15" hidden="false" customHeight="false" outlineLevel="0" collapsed="false">
      <c r="A131" s="4" t="s">
        <v>40</v>
      </c>
      <c r="B131" s="4" t="s">
        <v>473</v>
      </c>
      <c r="C131" s="4" t="s">
        <v>73</v>
      </c>
      <c r="D131" s="4" t="s">
        <v>469</v>
      </c>
      <c r="E131" s="4" t="s">
        <v>474</v>
      </c>
      <c r="F131" s="7" t="n">
        <v>36.84365</v>
      </c>
      <c r="G131" s="7" t="n">
        <v>11.12193</v>
      </c>
      <c r="H131" s="8" t="s">
        <v>213</v>
      </c>
      <c r="I131" s="4"/>
      <c r="J131" s="4"/>
      <c r="K131" s="4" t="n">
        <v>1</v>
      </c>
      <c r="L131" s="4" t="n">
        <v>6</v>
      </c>
      <c r="M131" s="4" t="n">
        <v>2</v>
      </c>
      <c r="N131" s="4" t="s">
        <v>194</v>
      </c>
      <c r="O131" s="4" t="s">
        <v>309</v>
      </c>
      <c r="P131" s="4"/>
      <c r="Q131" s="4"/>
      <c r="R131" s="4" t="s">
        <v>71</v>
      </c>
      <c r="S131" s="4"/>
      <c r="T131" s="4"/>
      <c r="U131" s="4" t="s">
        <v>196</v>
      </c>
    </row>
    <row r="132" customFormat="false" ht="15" hidden="false" customHeight="false" outlineLevel="0" collapsed="false">
      <c r="A132" s="4" t="s">
        <v>40</v>
      </c>
      <c r="B132" s="4" t="s">
        <v>475</v>
      </c>
      <c r="C132" s="4" t="s">
        <v>73</v>
      </c>
      <c r="D132" s="4" t="s">
        <v>469</v>
      </c>
      <c r="E132" s="4" t="s">
        <v>476</v>
      </c>
      <c r="F132" s="7" t="n">
        <v>36.8524</v>
      </c>
      <c r="G132" s="7" t="n">
        <v>11.1265</v>
      </c>
      <c r="H132" s="8" t="s">
        <v>213</v>
      </c>
      <c r="I132" s="4"/>
      <c r="J132" s="4"/>
      <c r="K132" s="4" t="n">
        <v>0</v>
      </c>
      <c r="L132" s="4" t="n">
        <v>4</v>
      </c>
      <c r="M132" s="4" t="n">
        <v>4</v>
      </c>
      <c r="N132" s="4" t="s">
        <v>194</v>
      </c>
      <c r="O132" s="4" t="s">
        <v>309</v>
      </c>
      <c r="P132" s="4"/>
      <c r="Q132" s="4"/>
      <c r="R132" s="4" t="s">
        <v>71</v>
      </c>
      <c r="S132" s="4"/>
      <c r="T132" s="4"/>
      <c r="U132" s="4" t="s">
        <v>196</v>
      </c>
    </row>
    <row r="133" customFormat="false" ht="15" hidden="false" customHeight="false" outlineLevel="0" collapsed="false">
      <c r="A133" s="4" t="s">
        <v>40</v>
      </c>
      <c r="B133" s="4" t="s">
        <v>477</v>
      </c>
      <c r="C133" s="4" t="s">
        <v>73</v>
      </c>
      <c r="D133" s="4" t="s">
        <v>469</v>
      </c>
      <c r="E133" s="4" t="s">
        <v>478</v>
      </c>
      <c r="F133" s="7" t="n">
        <v>36.86542</v>
      </c>
      <c r="G133" s="7" t="n">
        <v>11.13244</v>
      </c>
      <c r="H133" s="8" t="s">
        <v>213</v>
      </c>
      <c r="I133" s="4"/>
      <c r="J133" s="4"/>
      <c r="K133" s="4" t="n">
        <v>0</v>
      </c>
      <c r="L133" s="4" t="n">
        <v>4</v>
      </c>
      <c r="M133" s="4" t="n">
        <v>2</v>
      </c>
      <c r="N133" s="4" t="s">
        <v>194</v>
      </c>
      <c r="O133" s="4" t="s">
        <v>309</v>
      </c>
      <c r="P133" s="4"/>
      <c r="Q133" s="4"/>
      <c r="R133" s="4" t="s">
        <v>71</v>
      </c>
      <c r="S133" s="4"/>
      <c r="T133" s="4"/>
      <c r="U133" s="4" t="s">
        <v>196</v>
      </c>
    </row>
    <row r="134" customFormat="false" ht="15" hidden="false" customHeight="false" outlineLevel="0" collapsed="false">
      <c r="A134" s="4" t="s">
        <v>40</v>
      </c>
      <c r="B134" s="4" t="s">
        <v>479</v>
      </c>
      <c r="C134" s="4" t="s">
        <v>73</v>
      </c>
      <c r="D134" s="4" t="s">
        <v>469</v>
      </c>
      <c r="E134" s="4" t="s">
        <v>480</v>
      </c>
      <c r="F134" s="7" t="n">
        <v>36.83023</v>
      </c>
      <c r="G134" s="7" t="n">
        <v>11.08706</v>
      </c>
      <c r="H134" s="8" t="s">
        <v>213</v>
      </c>
      <c r="I134" s="4"/>
      <c r="J134" s="4"/>
      <c r="K134" s="4" t="n">
        <v>1</v>
      </c>
      <c r="L134" s="4" t="n">
        <v>4</v>
      </c>
      <c r="M134" s="4" t="n">
        <v>2</v>
      </c>
      <c r="N134" s="4" t="s">
        <v>194</v>
      </c>
      <c r="O134" s="4" t="s">
        <v>309</v>
      </c>
      <c r="P134" s="4"/>
      <c r="Q134" s="4"/>
      <c r="R134" s="4" t="s">
        <v>71</v>
      </c>
      <c r="S134" s="4"/>
      <c r="T134" s="4"/>
      <c r="U134" s="4" t="s">
        <v>196</v>
      </c>
    </row>
    <row r="135" customFormat="false" ht="15" hidden="false" customHeight="false" outlineLevel="0" collapsed="false">
      <c r="A135" s="4" t="s">
        <v>40</v>
      </c>
      <c r="B135" s="4" t="s">
        <v>481</v>
      </c>
      <c r="C135" s="4" t="s">
        <v>73</v>
      </c>
      <c r="D135" s="4" t="s">
        <v>469</v>
      </c>
      <c r="E135" s="4" t="s">
        <v>380</v>
      </c>
      <c r="F135" s="7" t="n">
        <v>36.84566</v>
      </c>
      <c r="G135" s="7" t="n">
        <v>11.09357</v>
      </c>
      <c r="H135" s="8" t="s">
        <v>431</v>
      </c>
      <c r="I135" s="4"/>
      <c r="J135" s="4"/>
      <c r="K135" s="4" t="n">
        <v>0</v>
      </c>
      <c r="L135" s="4" t="n">
        <v>4</v>
      </c>
      <c r="M135" s="4" t="n">
        <v>2</v>
      </c>
      <c r="N135" s="4" t="s">
        <v>194</v>
      </c>
      <c r="O135" s="4" t="s">
        <v>309</v>
      </c>
      <c r="P135" s="4"/>
      <c r="Q135" s="4"/>
      <c r="R135" s="4" t="s">
        <v>71</v>
      </c>
      <c r="S135" s="4"/>
      <c r="T135" s="4"/>
      <c r="U135" s="4" t="s">
        <v>196</v>
      </c>
    </row>
    <row r="136" customFormat="false" ht="15" hidden="false" customHeight="false" outlineLevel="0" collapsed="false">
      <c r="A136" s="4" t="s">
        <v>40</v>
      </c>
      <c r="B136" s="4" t="s">
        <v>482</v>
      </c>
      <c r="C136" s="4" t="s">
        <v>73</v>
      </c>
      <c r="D136" s="4" t="s">
        <v>483</v>
      </c>
      <c r="E136" s="4" t="s">
        <v>484</v>
      </c>
      <c r="F136" s="7" t="n">
        <v>36.69443</v>
      </c>
      <c r="G136" s="7" t="n">
        <v>10.48659</v>
      </c>
      <c r="H136" s="8" t="s">
        <v>101</v>
      </c>
      <c r="I136" s="4"/>
      <c r="J136" s="4"/>
      <c r="K136" s="4" t="n">
        <v>1</v>
      </c>
      <c r="L136" s="4" t="n">
        <v>4</v>
      </c>
      <c r="M136" s="4" t="n">
        <v>3</v>
      </c>
      <c r="N136" s="4"/>
      <c r="O136" s="4" t="s">
        <v>309</v>
      </c>
      <c r="P136" s="4"/>
      <c r="Q136" s="4"/>
      <c r="R136" s="4" t="s">
        <v>71</v>
      </c>
      <c r="S136" s="4"/>
      <c r="T136" s="4"/>
      <c r="U136" s="4" t="s">
        <v>196</v>
      </c>
    </row>
    <row r="137" customFormat="false" ht="15" hidden="false" customHeight="false" outlineLevel="0" collapsed="false">
      <c r="A137" s="4" t="s">
        <v>40</v>
      </c>
      <c r="B137" s="4" t="s">
        <v>485</v>
      </c>
      <c r="C137" s="4" t="s">
        <v>73</v>
      </c>
      <c r="D137" s="4" t="s">
        <v>483</v>
      </c>
      <c r="E137" s="4" t="s">
        <v>486</v>
      </c>
      <c r="F137" s="7" t="n">
        <v>36.69443</v>
      </c>
      <c r="G137" s="7" t="n">
        <v>10.48659</v>
      </c>
      <c r="H137" s="8" t="s">
        <v>101</v>
      </c>
      <c r="I137" s="4"/>
      <c r="J137" s="4"/>
      <c r="K137" s="4" t="n">
        <v>0</v>
      </c>
      <c r="L137" s="4" t="n">
        <v>4</v>
      </c>
      <c r="M137" s="4" t="n">
        <v>3</v>
      </c>
      <c r="N137" s="4"/>
      <c r="O137" s="4" t="s">
        <v>309</v>
      </c>
      <c r="P137" s="4"/>
      <c r="Q137" s="4"/>
      <c r="R137" s="4" t="s">
        <v>71</v>
      </c>
      <c r="S137" s="4"/>
      <c r="T137" s="4"/>
      <c r="U137" s="4" t="s">
        <v>196</v>
      </c>
    </row>
    <row r="138" customFormat="false" ht="15" hidden="false" customHeight="false" outlineLevel="0" collapsed="false">
      <c r="A138" s="4" t="s">
        <v>40</v>
      </c>
      <c r="B138" s="4" t="s">
        <v>487</v>
      </c>
      <c r="C138" s="4" t="s">
        <v>73</v>
      </c>
      <c r="D138" s="4" t="s">
        <v>483</v>
      </c>
      <c r="E138" s="4" t="s">
        <v>488</v>
      </c>
      <c r="F138" s="7" t="n">
        <v>36.69443</v>
      </c>
      <c r="G138" s="7" t="n">
        <v>10.48659</v>
      </c>
      <c r="H138" s="8" t="s">
        <v>101</v>
      </c>
      <c r="I138" s="4"/>
      <c r="J138" s="4"/>
      <c r="K138" s="4" t="n">
        <v>1</v>
      </c>
      <c r="L138" s="4" t="n">
        <v>4</v>
      </c>
      <c r="M138" s="4" t="n">
        <v>3</v>
      </c>
      <c r="N138" s="4"/>
      <c r="O138" s="4" t="s">
        <v>309</v>
      </c>
      <c r="P138" s="4"/>
      <c r="Q138" s="4"/>
      <c r="R138" s="4" t="s">
        <v>71</v>
      </c>
      <c r="S138" s="4"/>
      <c r="T138" s="4"/>
      <c r="U138" s="4" t="s">
        <v>196</v>
      </c>
    </row>
    <row r="139" customFormat="false" ht="15" hidden="false" customHeight="false" outlineLevel="0" collapsed="false">
      <c r="A139" s="4" t="s">
        <v>40</v>
      </c>
      <c r="B139" s="4" t="s">
        <v>489</v>
      </c>
      <c r="C139" s="4" t="s">
        <v>73</v>
      </c>
      <c r="D139" s="4" t="s">
        <v>483</v>
      </c>
      <c r="E139" s="4" t="s">
        <v>490</v>
      </c>
      <c r="F139" s="7" t="n">
        <v>36.69443</v>
      </c>
      <c r="G139" s="7" t="n">
        <v>10.48659</v>
      </c>
      <c r="H139" s="8" t="s">
        <v>101</v>
      </c>
      <c r="I139" s="4"/>
      <c r="J139" s="4"/>
      <c r="K139" s="4" t="n">
        <v>0</v>
      </c>
      <c r="L139" s="4" t="n">
        <v>4</v>
      </c>
      <c r="M139" s="4" t="n">
        <v>3</v>
      </c>
      <c r="N139" s="4"/>
      <c r="O139" s="4" t="s">
        <v>309</v>
      </c>
      <c r="P139" s="4"/>
      <c r="Q139" s="4"/>
      <c r="R139" s="4" t="s">
        <v>71</v>
      </c>
      <c r="S139" s="4"/>
      <c r="T139" s="4"/>
      <c r="U139" s="4" t="s">
        <v>196</v>
      </c>
    </row>
    <row r="140" customFormat="false" ht="15" hidden="false" customHeight="false" outlineLevel="0" collapsed="false">
      <c r="A140" s="4" t="s">
        <v>40</v>
      </c>
      <c r="B140" s="4" t="s">
        <v>491</v>
      </c>
      <c r="C140" s="4" t="s">
        <v>73</v>
      </c>
      <c r="D140" s="4" t="s">
        <v>483</v>
      </c>
      <c r="E140" s="4" t="s">
        <v>492</v>
      </c>
      <c r="F140" s="7" t="n">
        <v>36.69443</v>
      </c>
      <c r="G140" s="7" t="n">
        <v>10.48659</v>
      </c>
      <c r="H140" s="8" t="s">
        <v>101</v>
      </c>
      <c r="I140" s="4"/>
      <c r="J140" s="4"/>
      <c r="K140" s="4" t="n">
        <v>0</v>
      </c>
      <c r="L140" s="4" t="n">
        <v>4</v>
      </c>
      <c r="M140" s="4" t="n">
        <v>0</v>
      </c>
      <c r="N140" s="4"/>
      <c r="O140" s="4" t="s">
        <v>309</v>
      </c>
      <c r="P140" s="4"/>
      <c r="Q140" s="4"/>
      <c r="R140" s="4" t="s">
        <v>71</v>
      </c>
      <c r="S140" s="4"/>
      <c r="T140" s="4"/>
      <c r="U140" s="4" t="s">
        <v>196</v>
      </c>
    </row>
    <row r="141" customFormat="false" ht="15" hidden="false" customHeight="false" outlineLevel="0" collapsed="false">
      <c r="A141" s="4" t="s">
        <v>40</v>
      </c>
      <c r="B141" s="4" t="s">
        <v>493</v>
      </c>
      <c r="C141" s="4" t="s">
        <v>73</v>
      </c>
      <c r="D141" s="4" t="s">
        <v>494</v>
      </c>
      <c r="E141" s="4" t="s">
        <v>474</v>
      </c>
      <c r="F141" s="7" t="n">
        <v>36.98295</v>
      </c>
      <c r="G141" s="7" t="n">
        <v>11.07702</v>
      </c>
      <c r="H141" s="8" t="s">
        <v>213</v>
      </c>
      <c r="I141" s="4"/>
      <c r="J141" s="4"/>
      <c r="K141" s="4" t="n">
        <v>0</v>
      </c>
      <c r="L141" s="4" t="n">
        <v>4</v>
      </c>
      <c r="M141" s="4" t="n">
        <v>2</v>
      </c>
      <c r="N141" s="4"/>
      <c r="O141" s="4" t="s">
        <v>309</v>
      </c>
      <c r="P141" s="4"/>
      <c r="Q141" s="4"/>
      <c r="R141" s="4" t="s">
        <v>71</v>
      </c>
      <c r="S141" s="4"/>
      <c r="T141" s="4"/>
      <c r="U141" s="4" t="s">
        <v>196</v>
      </c>
    </row>
    <row r="142" customFormat="false" ht="15" hidden="false" customHeight="false" outlineLevel="0" collapsed="false">
      <c r="A142" s="4" t="s">
        <v>40</v>
      </c>
      <c r="B142" s="4" t="s">
        <v>495</v>
      </c>
      <c r="C142" s="4" t="s">
        <v>73</v>
      </c>
      <c r="D142" s="4" t="s">
        <v>494</v>
      </c>
      <c r="E142" s="4" t="s">
        <v>496</v>
      </c>
      <c r="F142" s="7" t="n">
        <v>36.98295</v>
      </c>
      <c r="G142" s="7" t="n">
        <v>11.07702</v>
      </c>
      <c r="H142" s="8" t="s">
        <v>213</v>
      </c>
      <c r="I142" s="4"/>
      <c r="J142" s="4"/>
      <c r="K142" s="4" t="n">
        <v>0</v>
      </c>
      <c r="L142" s="4" t="n">
        <v>4</v>
      </c>
      <c r="M142" s="4" t="n">
        <v>0</v>
      </c>
      <c r="N142" s="4"/>
      <c r="O142" s="4" t="s">
        <v>309</v>
      </c>
      <c r="P142" s="4"/>
      <c r="Q142" s="4"/>
      <c r="R142" s="4" t="s">
        <v>71</v>
      </c>
      <c r="S142" s="4"/>
      <c r="T142" s="4"/>
      <c r="U142" s="4" t="s">
        <v>196</v>
      </c>
    </row>
    <row r="143" customFormat="false" ht="15" hidden="false" customHeight="false" outlineLevel="0" collapsed="false">
      <c r="A143" s="4" t="s">
        <v>40</v>
      </c>
      <c r="B143" s="4" t="s">
        <v>497</v>
      </c>
      <c r="C143" s="4" t="s">
        <v>73</v>
      </c>
      <c r="D143" s="4" t="s">
        <v>494</v>
      </c>
      <c r="E143" s="4" t="s">
        <v>498</v>
      </c>
      <c r="F143" s="7" t="n">
        <v>36.98295</v>
      </c>
      <c r="G143" s="7" t="n">
        <v>11.07702</v>
      </c>
      <c r="H143" s="8" t="s">
        <v>213</v>
      </c>
      <c r="I143" s="4"/>
      <c r="J143" s="4"/>
      <c r="K143" s="4" t="n">
        <v>1</v>
      </c>
      <c r="L143" s="4" t="n">
        <v>4</v>
      </c>
      <c r="M143" s="4" t="n">
        <v>2</v>
      </c>
      <c r="N143" s="4"/>
      <c r="O143" s="4" t="s">
        <v>309</v>
      </c>
      <c r="P143" s="4"/>
      <c r="Q143" s="4"/>
      <c r="R143" s="4" t="s">
        <v>71</v>
      </c>
      <c r="S143" s="4"/>
      <c r="T143" s="4"/>
      <c r="U143" s="4" t="s">
        <v>196</v>
      </c>
    </row>
    <row r="144" customFormat="false" ht="15" hidden="false" customHeight="false" outlineLevel="0" collapsed="false">
      <c r="A144" s="4" t="s">
        <v>40</v>
      </c>
      <c r="B144" s="4" t="s">
        <v>499</v>
      </c>
      <c r="C144" s="4" t="s">
        <v>73</v>
      </c>
      <c r="D144" s="4" t="s">
        <v>494</v>
      </c>
      <c r="E144" s="4" t="s">
        <v>500</v>
      </c>
      <c r="F144" s="7" t="n">
        <v>36.98295</v>
      </c>
      <c r="G144" s="7" t="n">
        <v>11.07702</v>
      </c>
      <c r="H144" s="8" t="s">
        <v>213</v>
      </c>
      <c r="I144" s="4"/>
      <c r="J144" s="4"/>
      <c r="K144" s="4" t="n">
        <v>0</v>
      </c>
      <c r="L144" s="4" t="n">
        <v>4</v>
      </c>
      <c r="M144" s="4" t="n">
        <v>2</v>
      </c>
      <c r="N144" s="4"/>
      <c r="O144" s="4" t="s">
        <v>309</v>
      </c>
      <c r="P144" s="4"/>
      <c r="Q144" s="4"/>
      <c r="R144" s="4" t="s">
        <v>71</v>
      </c>
      <c r="S144" s="4"/>
      <c r="T144" s="4"/>
      <c r="U144" s="4" t="s">
        <v>196</v>
      </c>
    </row>
    <row r="145" customFormat="false" ht="15" hidden="false" customHeight="false" outlineLevel="0" collapsed="false">
      <c r="A145" s="4" t="s">
        <v>40</v>
      </c>
      <c r="B145" s="4" t="s">
        <v>501</v>
      </c>
      <c r="C145" s="4" t="s">
        <v>73</v>
      </c>
      <c r="D145" s="4" t="s">
        <v>502</v>
      </c>
      <c r="E145" s="4" t="s">
        <v>363</v>
      </c>
      <c r="F145" s="7" t="n">
        <v>37.04981</v>
      </c>
      <c r="G145" s="7" t="n">
        <v>11.01165</v>
      </c>
      <c r="H145" s="8" t="s">
        <v>101</v>
      </c>
      <c r="I145" s="4"/>
      <c r="J145" s="4"/>
      <c r="K145" s="4" t="n">
        <v>0</v>
      </c>
      <c r="L145" s="4" t="n">
        <v>4</v>
      </c>
      <c r="M145" s="4" t="n">
        <v>0</v>
      </c>
      <c r="N145" s="4" t="s">
        <v>194</v>
      </c>
      <c r="O145" s="4" t="s">
        <v>309</v>
      </c>
      <c r="P145" s="4"/>
      <c r="Q145" s="4"/>
      <c r="R145" s="4" t="s">
        <v>71</v>
      </c>
      <c r="S145" s="4"/>
      <c r="T145" s="4"/>
      <c r="U145" s="4" t="s">
        <v>196</v>
      </c>
    </row>
    <row r="146" customFormat="false" ht="15" hidden="false" customHeight="false" outlineLevel="0" collapsed="false">
      <c r="A146" s="4" t="s">
        <v>40</v>
      </c>
      <c r="B146" s="4" t="s">
        <v>503</v>
      </c>
      <c r="C146" s="4" t="s">
        <v>73</v>
      </c>
      <c r="D146" s="4" t="s">
        <v>502</v>
      </c>
      <c r="E146" s="4" t="s">
        <v>504</v>
      </c>
      <c r="F146" s="7" t="n">
        <v>37.04981</v>
      </c>
      <c r="G146" s="7" t="n">
        <v>11.01165</v>
      </c>
      <c r="H146" s="8" t="s">
        <v>101</v>
      </c>
      <c r="I146" s="4"/>
      <c r="J146" s="4"/>
      <c r="K146" s="4" t="n">
        <v>1</v>
      </c>
      <c r="L146" s="4" t="n">
        <v>8</v>
      </c>
      <c r="M146" s="4" t="n">
        <v>6</v>
      </c>
      <c r="N146" s="4" t="s">
        <v>194</v>
      </c>
      <c r="O146" s="4" t="s">
        <v>309</v>
      </c>
      <c r="P146" s="4"/>
      <c r="Q146" s="4"/>
      <c r="R146" s="4" t="s">
        <v>71</v>
      </c>
      <c r="S146" s="4"/>
      <c r="T146" s="4"/>
      <c r="U146" s="4" t="s">
        <v>196</v>
      </c>
    </row>
    <row r="147" customFormat="false" ht="15" hidden="false" customHeight="false" outlineLevel="0" collapsed="false">
      <c r="A147" s="4" t="s">
        <v>40</v>
      </c>
      <c r="B147" s="4" t="s">
        <v>505</v>
      </c>
      <c r="C147" s="4" t="s">
        <v>73</v>
      </c>
      <c r="D147" s="4" t="s">
        <v>502</v>
      </c>
      <c r="E147" s="4" t="s">
        <v>506</v>
      </c>
      <c r="F147" s="7" t="n">
        <v>37.04981</v>
      </c>
      <c r="G147" s="7" t="n">
        <v>11.01165</v>
      </c>
      <c r="H147" s="8" t="s">
        <v>101</v>
      </c>
      <c r="I147" s="4"/>
      <c r="J147" s="4"/>
      <c r="K147" s="4" t="n">
        <v>0</v>
      </c>
      <c r="L147" s="4" t="n">
        <v>2</v>
      </c>
      <c r="M147" s="4" t="n">
        <v>0</v>
      </c>
      <c r="N147" s="4" t="s">
        <v>194</v>
      </c>
      <c r="O147" s="4" t="s">
        <v>309</v>
      </c>
      <c r="P147" s="4"/>
      <c r="Q147" s="4"/>
      <c r="R147" s="4" t="s">
        <v>71</v>
      </c>
      <c r="S147" s="4"/>
      <c r="T147" s="4"/>
      <c r="U147" s="4" t="s">
        <v>196</v>
      </c>
    </row>
    <row r="148" customFormat="false" ht="15" hidden="false" customHeight="false" outlineLevel="0" collapsed="false">
      <c r="A148" s="4" t="s">
        <v>40</v>
      </c>
      <c r="B148" s="4" t="s">
        <v>507</v>
      </c>
      <c r="C148" s="4" t="s">
        <v>73</v>
      </c>
      <c r="D148" s="4" t="s">
        <v>502</v>
      </c>
      <c r="E148" s="4" t="s">
        <v>508</v>
      </c>
      <c r="F148" s="7" t="n">
        <v>37.03252</v>
      </c>
      <c r="G148" s="7" t="n">
        <v>10.97243</v>
      </c>
      <c r="H148" s="8" t="s">
        <v>250</v>
      </c>
      <c r="I148" s="4"/>
      <c r="J148" s="4"/>
      <c r="K148" s="4" t="n">
        <v>0</v>
      </c>
      <c r="L148" s="4" t="n">
        <v>2</v>
      </c>
      <c r="M148" s="4" t="n">
        <v>2</v>
      </c>
      <c r="N148" s="4" t="s">
        <v>194</v>
      </c>
      <c r="O148" s="4" t="s">
        <v>309</v>
      </c>
      <c r="P148" s="4"/>
      <c r="Q148" s="4"/>
      <c r="R148" s="4" t="s">
        <v>71</v>
      </c>
      <c r="S148" s="4"/>
      <c r="T148" s="4"/>
      <c r="U148" s="4" t="s">
        <v>196</v>
      </c>
    </row>
    <row r="149" customFormat="false" ht="15" hidden="false" customHeight="false" outlineLevel="0" collapsed="false">
      <c r="A149" s="4" t="s">
        <v>40</v>
      </c>
      <c r="B149" s="4" t="s">
        <v>509</v>
      </c>
      <c r="C149" s="4" t="s">
        <v>73</v>
      </c>
      <c r="D149" s="4" t="s">
        <v>510</v>
      </c>
      <c r="E149" s="4" t="s">
        <v>511</v>
      </c>
      <c r="F149" s="7" t="n">
        <v>36.92504</v>
      </c>
      <c r="G149" s="7" t="n">
        <v>10.84122</v>
      </c>
      <c r="H149" s="8" t="s">
        <v>250</v>
      </c>
      <c r="I149" s="4"/>
      <c r="J149" s="4"/>
      <c r="K149" s="4" t="n">
        <v>0</v>
      </c>
      <c r="L149" s="4" t="n">
        <v>6</v>
      </c>
      <c r="M149" s="4" t="n">
        <v>3</v>
      </c>
      <c r="N149" s="4"/>
      <c r="O149" s="4" t="s">
        <v>309</v>
      </c>
      <c r="P149" s="4"/>
      <c r="Q149" s="4"/>
      <c r="R149" s="4" t="s">
        <v>71</v>
      </c>
      <c r="S149" s="4"/>
      <c r="T149" s="4"/>
      <c r="U149" s="4" t="s">
        <v>196</v>
      </c>
    </row>
    <row r="150" customFormat="false" ht="15" hidden="false" customHeight="false" outlineLevel="0" collapsed="false">
      <c r="A150" s="4" t="s">
        <v>40</v>
      </c>
      <c r="B150" s="4" t="s">
        <v>512</v>
      </c>
      <c r="C150" s="4" t="s">
        <v>73</v>
      </c>
      <c r="D150" s="4" t="s">
        <v>510</v>
      </c>
      <c r="E150" s="4" t="s">
        <v>513</v>
      </c>
      <c r="F150" s="7" t="n">
        <v>36.93603</v>
      </c>
      <c r="G150" s="7" t="n">
        <v>10.86972</v>
      </c>
      <c r="H150" s="8" t="s">
        <v>101</v>
      </c>
      <c r="I150" s="4"/>
      <c r="J150" s="4"/>
      <c r="K150" s="4" t="n">
        <v>0</v>
      </c>
      <c r="L150" s="4" t="n">
        <v>8</v>
      </c>
      <c r="M150" s="4" t="n">
        <v>4</v>
      </c>
      <c r="N150" s="4"/>
      <c r="O150" s="4" t="s">
        <v>309</v>
      </c>
      <c r="P150" s="4"/>
      <c r="Q150" s="4"/>
      <c r="R150" s="4" t="s">
        <v>71</v>
      </c>
      <c r="S150" s="4"/>
      <c r="T150" s="4"/>
      <c r="U150" s="4" t="s">
        <v>196</v>
      </c>
    </row>
    <row r="151" customFormat="false" ht="15" hidden="false" customHeight="false" outlineLevel="0" collapsed="false">
      <c r="A151" s="4" t="s">
        <v>40</v>
      </c>
      <c r="B151" s="4" t="s">
        <v>514</v>
      </c>
      <c r="C151" s="4" t="s">
        <v>73</v>
      </c>
      <c r="D151" s="4" t="s">
        <v>515</v>
      </c>
      <c r="E151" s="4"/>
      <c r="F151" s="7" t="n">
        <v>36.46662</v>
      </c>
      <c r="G151" s="7" t="n">
        <v>10.74785</v>
      </c>
      <c r="H151" s="8" t="s">
        <v>117</v>
      </c>
      <c r="I151" s="4"/>
      <c r="J151" s="4"/>
      <c r="K151" s="4" t="n">
        <v>0</v>
      </c>
      <c r="L151" s="4" t="n">
        <v>8</v>
      </c>
      <c r="M151" s="4" t="n">
        <v>0</v>
      </c>
      <c r="N151" s="4"/>
      <c r="O151" s="4" t="s">
        <v>309</v>
      </c>
      <c r="P151" s="4"/>
      <c r="Q151" s="4"/>
      <c r="R151" s="4" t="s">
        <v>71</v>
      </c>
      <c r="S151" s="4"/>
      <c r="T151" s="4"/>
      <c r="U151" s="4" t="s">
        <v>196</v>
      </c>
    </row>
    <row r="152" customFormat="false" ht="15" hidden="false" customHeight="false" outlineLevel="0" collapsed="false">
      <c r="A152" s="4" t="s">
        <v>40</v>
      </c>
      <c r="B152" s="4" t="s">
        <v>516</v>
      </c>
      <c r="C152" s="4" t="s">
        <v>73</v>
      </c>
      <c r="D152" s="4" t="s">
        <v>517</v>
      </c>
      <c r="E152" s="4" t="s">
        <v>387</v>
      </c>
      <c r="F152" s="7" t="n">
        <v>36.87399</v>
      </c>
      <c r="G152" s="7" t="n">
        <v>11.10823</v>
      </c>
      <c r="H152" s="8" t="s">
        <v>101</v>
      </c>
      <c r="I152" s="4"/>
      <c r="J152" s="4"/>
      <c r="K152" s="4" t="n">
        <v>0</v>
      </c>
      <c r="L152" s="4" t="n">
        <v>8</v>
      </c>
      <c r="M152" s="4" t="n">
        <v>4</v>
      </c>
      <c r="N152" s="4"/>
      <c r="O152" s="4" t="s">
        <v>309</v>
      </c>
      <c r="P152" s="4"/>
      <c r="Q152" s="4"/>
      <c r="R152" s="4" t="s">
        <v>71</v>
      </c>
      <c r="S152" s="4"/>
      <c r="T152" s="4"/>
      <c r="U152" s="4" t="s">
        <v>196</v>
      </c>
    </row>
    <row r="153" customFormat="false" ht="15" hidden="false" customHeight="false" outlineLevel="0" collapsed="false">
      <c r="A153" s="4" t="s">
        <v>40</v>
      </c>
      <c r="B153" s="4" t="s">
        <v>518</v>
      </c>
      <c r="C153" s="4" t="s">
        <v>73</v>
      </c>
      <c r="D153" s="4" t="s">
        <v>517</v>
      </c>
      <c r="E153" s="4" t="s">
        <v>519</v>
      </c>
      <c r="F153" s="7" t="n">
        <v>36.87399</v>
      </c>
      <c r="G153" s="7" t="n">
        <v>11.10823</v>
      </c>
      <c r="H153" s="8" t="s">
        <v>101</v>
      </c>
      <c r="I153" s="4"/>
      <c r="J153" s="4"/>
      <c r="K153" s="4" t="n">
        <v>0</v>
      </c>
      <c r="L153" s="4" t="n">
        <v>4</v>
      </c>
      <c r="M153" s="4" t="n">
        <v>2</v>
      </c>
      <c r="N153" s="4"/>
      <c r="O153" s="4" t="s">
        <v>309</v>
      </c>
      <c r="P153" s="4"/>
      <c r="Q153" s="4"/>
      <c r="R153" s="4" t="s">
        <v>71</v>
      </c>
      <c r="S153" s="4"/>
      <c r="T153" s="4"/>
      <c r="U153" s="4" t="s">
        <v>196</v>
      </c>
    </row>
    <row r="154" customFormat="false" ht="15" hidden="false" customHeight="false" outlineLevel="0" collapsed="false">
      <c r="A154" s="4" t="s">
        <v>40</v>
      </c>
      <c r="B154" s="4" t="s">
        <v>520</v>
      </c>
      <c r="C154" s="4" t="s">
        <v>73</v>
      </c>
      <c r="D154" s="4" t="s">
        <v>517</v>
      </c>
      <c r="E154" s="4" t="s">
        <v>474</v>
      </c>
      <c r="F154" s="7" t="n">
        <v>36.87399</v>
      </c>
      <c r="G154" s="7" t="n">
        <v>11.10823</v>
      </c>
      <c r="H154" s="8" t="s">
        <v>101</v>
      </c>
      <c r="I154" s="4"/>
      <c r="J154" s="4"/>
      <c r="K154" s="4" t="n">
        <v>1</v>
      </c>
      <c r="L154" s="4" t="n">
        <v>6</v>
      </c>
      <c r="M154" s="4" t="n">
        <v>2</v>
      </c>
      <c r="N154" s="4"/>
      <c r="O154" s="4" t="s">
        <v>309</v>
      </c>
      <c r="P154" s="4"/>
      <c r="Q154" s="4"/>
      <c r="R154" s="4" t="s">
        <v>71</v>
      </c>
      <c r="S154" s="4"/>
      <c r="T154" s="4"/>
      <c r="U154" s="4" t="s">
        <v>196</v>
      </c>
    </row>
    <row r="155" customFormat="false" ht="15" hidden="false" customHeight="false" outlineLevel="0" collapsed="false">
      <c r="A155" s="4" t="s">
        <v>40</v>
      </c>
      <c r="B155" s="4" t="s">
        <v>521</v>
      </c>
      <c r="C155" s="4" t="s">
        <v>73</v>
      </c>
      <c r="D155" s="4" t="s">
        <v>517</v>
      </c>
      <c r="E155" s="4" t="s">
        <v>522</v>
      </c>
      <c r="F155" s="7" t="n">
        <v>36.87399</v>
      </c>
      <c r="G155" s="7" t="n">
        <v>11.10823</v>
      </c>
      <c r="H155" s="8" t="s">
        <v>101</v>
      </c>
      <c r="I155" s="4"/>
      <c r="J155" s="4"/>
      <c r="K155" s="4" t="n">
        <v>0</v>
      </c>
      <c r="L155" s="4" t="n">
        <v>4</v>
      </c>
      <c r="M155" s="4" t="n">
        <v>2</v>
      </c>
      <c r="N155" s="4"/>
      <c r="O155" s="4" t="s">
        <v>309</v>
      </c>
      <c r="P155" s="4"/>
      <c r="Q155" s="4"/>
      <c r="R155" s="4" t="s">
        <v>71</v>
      </c>
      <c r="S155" s="4"/>
      <c r="T155" s="4"/>
      <c r="U155" s="4" t="s">
        <v>196</v>
      </c>
    </row>
    <row r="156" customFormat="false" ht="15" hidden="false" customHeight="false" outlineLevel="0" collapsed="false">
      <c r="A156" s="4" t="s">
        <v>40</v>
      </c>
      <c r="B156" s="4" t="s">
        <v>523</v>
      </c>
      <c r="C156" s="4" t="s">
        <v>73</v>
      </c>
      <c r="D156" s="4" t="s">
        <v>517</v>
      </c>
      <c r="E156" s="4" t="s">
        <v>478</v>
      </c>
      <c r="F156" s="7" t="n">
        <v>36.86542</v>
      </c>
      <c r="G156" s="7" t="n">
        <v>11.13244</v>
      </c>
      <c r="H156" s="8" t="s">
        <v>213</v>
      </c>
      <c r="I156" s="4"/>
      <c r="J156" s="4"/>
      <c r="K156" s="4" t="n">
        <v>0</v>
      </c>
      <c r="L156" s="4" t="n">
        <v>4</v>
      </c>
      <c r="M156" s="4" t="n">
        <v>2</v>
      </c>
      <c r="N156" s="4"/>
      <c r="O156" s="4" t="s">
        <v>309</v>
      </c>
      <c r="P156" s="4"/>
      <c r="Q156" s="4"/>
      <c r="R156" s="4" t="s">
        <v>71</v>
      </c>
      <c r="S156" s="4"/>
      <c r="T156" s="4"/>
      <c r="U156" s="4" t="s">
        <v>196</v>
      </c>
    </row>
    <row r="157" customFormat="false" ht="15" hidden="false" customHeight="false" outlineLevel="0" collapsed="false">
      <c r="A157" s="4" t="s">
        <v>40</v>
      </c>
      <c r="B157" s="4" t="s">
        <v>524</v>
      </c>
      <c r="C157" s="4" t="s">
        <v>73</v>
      </c>
      <c r="D157" s="4" t="s">
        <v>525</v>
      </c>
      <c r="E157" s="4" t="s">
        <v>526</v>
      </c>
      <c r="F157" s="7" t="n">
        <v>36.81628</v>
      </c>
      <c r="G157" s="7" t="n">
        <v>10.56893</v>
      </c>
      <c r="H157" s="8" t="s">
        <v>101</v>
      </c>
      <c r="I157" s="4"/>
      <c r="J157" s="4"/>
      <c r="K157" s="4" t="n">
        <v>0</v>
      </c>
      <c r="L157" s="4" t="n">
        <v>2</v>
      </c>
      <c r="M157" s="4" t="n">
        <v>2</v>
      </c>
      <c r="N157" s="4"/>
      <c r="O157" s="4"/>
      <c r="P157" s="4"/>
      <c r="Q157" s="4"/>
      <c r="R157" s="4" t="s">
        <v>71</v>
      </c>
      <c r="S157" s="4"/>
      <c r="T157" s="4"/>
      <c r="U157" s="4" t="s">
        <v>196</v>
      </c>
    </row>
    <row r="158" customFormat="false" ht="15" hidden="false" customHeight="false" outlineLevel="0" collapsed="false">
      <c r="A158" s="4" t="s">
        <v>40</v>
      </c>
      <c r="B158" s="4" t="s">
        <v>527</v>
      </c>
      <c r="C158" s="4" t="s">
        <v>73</v>
      </c>
      <c r="D158" s="4" t="s">
        <v>525</v>
      </c>
      <c r="E158" s="4" t="s">
        <v>528</v>
      </c>
      <c r="F158" s="7" t="n">
        <v>36.81628</v>
      </c>
      <c r="G158" s="7" t="n">
        <v>10.56893</v>
      </c>
      <c r="H158" s="8" t="s">
        <v>101</v>
      </c>
      <c r="I158" s="4"/>
      <c r="J158" s="4"/>
      <c r="K158" s="4" t="n">
        <v>0</v>
      </c>
      <c r="L158" s="4" t="n">
        <v>4</v>
      </c>
      <c r="M158" s="4" t="n">
        <v>2</v>
      </c>
      <c r="N158" s="4"/>
      <c r="O158" s="4" t="s">
        <v>309</v>
      </c>
      <c r="P158" s="4"/>
      <c r="Q158" s="4"/>
      <c r="R158" s="4" t="s">
        <v>71</v>
      </c>
      <c r="S158" s="4"/>
      <c r="T158" s="4"/>
      <c r="U158" s="4" t="s">
        <v>196</v>
      </c>
    </row>
    <row r="159" customFormat="false" ht="15" hidden="false" customHeight="false" outlineLevel="0" collapsed="false">
      <c r="A159" s="4" t="s">
        <v>40</v>
      </c>
      <c r="B159" s="4" t="s">
        <v>529</v>
      </c>
      <c r="C159" s="4" t="s">
        <v>73</v>
      </c>
      <c r="D159" s="4" t="s">
        <v>525</v>
      </c>
      <c r="E159" s="4" t="s">
        <v>530</v>
      </c>
      <c r="F159" s="7" t="n">
        <v>36.81628</v>
      </c>
      <c r="G159" s="7" t="n">
        <v>10.56893</v>
      </c>
      <c r="H159" s="8" t="s">
        <v>101</v>
      </c>
      <c r="I159" s="4"/>
      <c r="J159" s="4"/>
      <c r="K159" s="4" t="n">
        <v>0</v>
      </c>
      <c r="L159" s="4" t="n">
        <v>4</v>
      </c>
      <c r="M159" s="4" t="n">
        <v>3</v>
      </c>
      <c r="N159" s="4"/>
      <c r="O159" s="4" t="s">
        <v>309</v>
      </c>
      <c r="P159" s="4"/>
      <c r="Q159" s="4"/>
      <c r="R159" s="4" t="s">
        <v>71</v>
      </c>
      <c r="S159" s="4"/>
      <c r="T159" s="4"/>
      <c r="U159" s="4" t="s">
        <v>196</v>
      </c>
    </row>
    <row r="160" customFormat="false" ht="15" hidden="false" customHeight="false" outlineLevel="0" collapsed="false">
      <c r="A160" s="4" t="s">
        <v>40</v>
      </c>
      <c r="B160" s="4" t="s">
        <v>531</v>
      </c>
      <c r="C160" s="4" t="s">
        <v>73</v>
      </c>
      <c r="D160" s="4" t="s">
        <v>532</v>
      </c>
      <c r="E160" s="4" t="s">
        <v>532</v>
      </c>
      <c r="F160" s="7" t="n">
        <v>36.46936</v>
      </c>
      <c r="G160" s="7" t="n">
        <v>10.78098</v>
      </c>
      <c r="H160" s="8" t="s">
        <v>117</v>
      </c>
      <c r="I160" s="4"/>
      <c r="J160" s="4"/>
      <c r="K160" s="4" t="n">
        <v>0</v>
      </c>
      <c r="L160" s="4" t="n">
        <v>2</v>
      </c>
      <c r="M160" s="4" t="n">
        <v>2</v>
      </c>
      <c r="N160" s="4"/>
      <c r="O160" s="4" t="s">
        <v>309</v>
      </c>
      <c r="P160" s="4"/>
      <c r="Q160" s="4"/>
      <c r="R160" s="4" t="s">
        <v>71</v>
      </c>
      <c r="S160" s="4"/>
      <c r="T160" s="4"/>
      <c r="U160" s="4" t="s">
        <v>196</v>
      </c>
    </row>
    <row r="161" customFormat="false" ht="15" hidden="false" customHeight="false" outlineLevel="0" collapsed="false">
      <c r="A161" s="4" t="s">
        <v>40</v>
      </c>
      <c r="B161" s="4" t="s">
        <v>533</v>
      </c>
      <c r="C161" s="4" t="s">
        <v>73</v>
      </c>
      <c r="D161" s="4" t="s">
        <v>532</v>
      </c>
      <c r="E161" s="4" t="s">
        <v>534</v>
      </c>
      <c r="F161" s="7" t="n">
        <v>36.46936</v>
      </c>
      <c r="G161" s="7" t="n">
        <v>10.78098</v>
      </c>
      <c r="H161" s="8" t="s">
        <v>117</v>
      </c>
      <c r="I161" s="4"/>
      <c r="J161" s="4"/>
      <c r="K161" s="4" t="n">
        <v>0</v>
      </c>
      <c r="L161" s="4" t="n">
        <v>2</v>
      </c>
      <c r="M161" s="4" t="n">
        <v>2</v>
      </c>
      <c r="N161" s="4"/>
      <c r="O161" s="4" t="s">
        <v>309</v>
      </c>
      <c r="P161" s="4"/>
      <c r="Q161" s="4"/>
      <c r="R161" s="4" t="s">
        <v>71</v>
      </c>
      <c r="S161" s="4"/>
      <c r="T161" s="4"/>
      <c r="U161" s="4" t="s">
        <v>196</v>
      </c>
    </row>
    <row r="162" customFormat="false" ht="15" hidden="false" customHeight="false" outlineLevel="0" collapsed="false">
      <c r="A162" s="4" t="s">
        <v>40</v>
      </c>
      <c r="B162" s="4" t="s">
        <v>535</v>
      </c>
      <c r="C162" s="4" t="s">
        <v>73</v>
      </c>
      <c r="D162" s="4" t="s">
        <v>532</v>
      </c>
      <c r="E162" s="4" t="s">
        <v>536</v>
      </c>
      <c r="F162" s="7" t="n">
        <v>36.45546</v>
      </c>
      <c r="G162" s="7" t="n">
        <v>10.79935</v>
      </c>
      <c r="H162" s="8" t="s">
        <v>213</v>
      </c>
      <c r="I162" s="4"/>
      <c r="J162" s="4"/>
      <c r="K162" s="4" t="n">
        <v>0</v>
      </c>
      <c r="L162" s="4" t="n">
        <v>4</v>
      </c>
      <c r="M162" s="4" t="n">
        <v>4</v>
      </c>
      <c r="N162" s="4"/>
      <c r="O162" s="4" t="s">
        <v>309</v>
      </c>
      <c r="P162" s="4"/>
      <c r="Q162" s="4"/>
      <c r="R162" s="4" t="s">
        <v>71</v>
      </c>
      <c r="S162" s="4"/>
      <c r="T162" s="4"/>
      <c r="U162" s="4" t="s">
        <v>196</v>
      </c>
    </row>
    <row r="163" customFormat="false" ht="15" hidden="false" customHeight="false" outlineLevel="0" collapsed="false">
      <c r="A163" s="4" t="s">
        <v>40</v>
      </c>
      <c r="B163" s="4" t="s">
        <v>537</v>
      </c>
      <c r="C163" s="4" t="s">
        <v>73</v>
      </c>
      <c r="D163" s="4" t="s">
        <v>538</v>
      </c>
      <c r="E163" s="4" t="s">
        <v>539</v>
      </c>
      <c r="F163" s="7" t="n">
        <v>36.46534</v>
      </c>
      <c r="G163" s="7" t="n">
        <v>10.80485</v>
      </c>
      <c r="H163" s="8" t="s">
        <v>101</v>
      </c>
      <c r="I163" s="4"/>
      <c r="J163" s="4"/>
      <c r="K163" s="4" t="n">
        <v>0</v>
      </c>
      <c r="L163" s="4" t="n">
        <v>2</v>
      </c>
      <c r="M163" s="4" t="n">
        <v>2</v>
      </c>
      <c r="N163" s="4"/>
      <c r="O163" s="4" t="s">
        <v>309</v>
      </c>
      <c r="P163" s="4"/>
      <c r="Q163" s="4"/>
      <c r="R163" s="4" t="s">
        <v>71</v>
      </c>
      <c r="S163" s="4"/>
      <c r="T163" s="4"/>
      <c r="U163" s="4" t="s">
        <v>196</v>
      </c>
    </row>
    <row r="164" customFormat="false" ht="15" hidden="false" customHeight="false" outlineLevel="0" collapsed="false">
      <c r="A164" s="4" t="s">
        <v>40</v>
      </c>
      <c r="B164" s="4" t="s">
        <v>540</v>
      </c>
      <c r="C164" s="4" t="s">
        <v>73</v>
      </c>
      <c r="D164" s="4" t="s">
        <v>538</v>
      </c>
      <c r="E164" s="4" t="s">
        <v>541</v>
      </c>
      <c r="F164" s="7" t="n">
        <v>36.46534</v>
      </c>
      <c r="G164" s="7" t="n">
        <v>10.80485</v>
      </c>
      <c r="H164" s="8" t="s">
        <v>101</v>
      </c>
      <c r="I164" s="4"/>
      <c r="J164" s="4"/>
      <c r="K164" s="4" t="n">
        <v>1</v>
      </c>
      <c r="L164" s="4" t="n">
        <v>6</v>
      </c>
      <c r="M164" s="4" t="n">
        <v>3</v>
      </c>
      <c r="N164" s="4"/>
      <c r="O164" s="4" t="s">
        <v>309</v>
      </c>
      <c r="P164" s="4"/>
      <c r="Q164" s="4"/>
      <c r="R164" s="4" t="s">
        <v>71</v>
      </c>
      <c r="S164" s="4"/>
      <c r="T164" s="4"/>
      <c r="U164" s="4" t="s">
        <v>196</v>
      </c>
    </row>
    <row r="165" customFormat="false" ht="15" hidden="false" customHeight="false" outlineLevel="0" collapsed="false">
      <c r="A165" s="4" t="s">
        <v>40</v>
      </c>
      <c r="B165" s="4" t="s">
        <v>542</v>
      </c>
      <c r="C165" s="4" t="s">
        <v>73</v>
      </c>
      <c r="D165" s="4" t="s">
        <v>538</v>
      </c>
      <c r="E165" s="4" t="s">
        <v>543</v>
      </c>
      <c r="F165" s="7" t="n">
        <v>36.46534</v>
      </c>
      <c r="G165" s="7" t="n">
        <v>10.80485</v>
      </c>
      <c r="H165" s="8" t="s">
        <v>101</v>
      </c>
      <c r="I165" s="4"/>
      <c r="J165" s="4"/>
      <c r="K165" s="4" t="n">
        <v>0</v>
      </c>
      <c r="L165" s="4" t="n">
        <v>4</v>
      </c>
      <c r="M165" s="4" t="n">
        <v>3</v>
      </c>
      <c r="N165" s="4"/>
      <c r="O165" s="4" t="s">
        <v>309</v>
      </c>
      <c r="P165" s="4"/>
      <c r="Q165" s="4"/>
      <c r="R165" s="4" t="s">
        <v>71</v>
      </c>
      <c r="S165" s="4"/>
      <c r="T165" s="4"/>
      <c r="U165" s="4" t="s">
        <v>196</v>
      </c>
    </row>
    <row r="166" customFormat="false" ht="15" hidden="false" customHeight="false" outlineLevel="0" collapsed="false">
      <c r="A166" s="4" t="s">
        <v>40</v>
      </c>
      <c r="B166" s="4" t="s">
        <v>544</v>
      </c>
      <c r="C166" s="4" t="s">
        <v>73</v>
      </c>
      <c r="D166" s="4" t="s">
        <v>538</v>
      </c>
      <c r="E166" s="4" t="s">
        <v>545</v>
      </c>
      <c r="F166" s="7" t="n">
        <v>36.46534</v>
      </c>
      <c r="G166" s="7" t="n">
        <v>10.80485</v>
      </c>
      <c r="H166" s="8" t="s">
        <v>101</v>
      </c>
      <c r="I166" s="4"/>
      <c r="J166" s="4"/>
      <c r="K166" s="4" t="n">
        <v>0</v>
      </c>
      <c r="L166" s="4" t="n">
        <v>4</v>
      </c>
      <c r="M166" s="4" t="n">
        <v>0</v>
      </c>
      <c r="N166" s="4"/>
      <c r="O166" s="4" t="s">
        <v>309</v>
      </c>
      <c r="P166" s="4"/>
      <c r="Q166" s="4"/>
      <c r="R166" s="4" t="s">
        <v>71</v>
      </c>
      <c r="S166" s="4"/>
      <c r="T166" s="4"/>
      <c r="U166" s="4" t="s">
        <v>196</v>
      </c>
    </row>
    <row r="167" customFormat="false" ht="15" hidden="false" customHeight="false" outlineLevel="0" collapsed="false">
      <c r="A167" s="4" t="s">
        <v>40</v>
      </c>
      <c r="B167" s="4" t="s">
        <v>546</v>
      </c>
      <c r="C167" s="4" t="s">
        <v>73</v>
      </c>
      <c r="D167" s="4" t="s">
        <v>547</v>
      </c>
      <c r="E167" s="4" t="s">
        <v>548</v>
      </c>
      <c r="F167" s="7" t="n">
        <v>36.54595</v>
      </c>
      <c r="G167" s="7" t="n">
        <v>10.83667</v>
      </c>
      <c r="H167" s="8" t="s">
        <v>117</v>
      </c>
      <c r="I167" s="4"/>
      <c r="J167" s="4"/>
      <c r="K167" s="4" t="n">
        <v>0</v>
      </c>
      <c r="L167" s="4" t="n">
        <v>2</v>
      </c>
      <c r="M167" s="4" t="n">
        <v>0</v>
      </c>
      <c r="N167" s="4"/>
      <c r="O167" s="4" t="s">
        <v>309</v>
      </c>
      <c r="P167" s="4"/>
      <c r="Q167" s="4"/>
      <c r="R167" s="4" t="s">
        <v>71</v>
      </c>
      <c r="S167" s="4"/>
      <c r="T167" s="4"/>
      <c r="U167" s="4" t="s">
        <v>196</v>
      </c>
    </row>
    <row r="168" customFormat="false" ht="15" hidden="false" customHeight="false" outlineLevel="0" collapsed="false">
      <c r="A168" s="4" t="s">
        <v>40</v>
      </c>
      <c r="B168" s="4" t="s">
        <v>549</v>
      </c>
      <c r="C168" s="4" t="s">
        <v>73</v>
      </c>
      <c r="D168" s="4" t="s">
        <v>547</v>
      </c>
      <c r="E168" s="4" t="s">
        <v>550</v>
      </c>
      <c r="F168" s="7" t="n">
        <v>36.54595</v>
      </c>
      <c r="G168" s="7" t="n">
        <v>10.83667</v>
      </c>
      <c r="H168" s="8" t="s">
        <v>117</v>
      </c>
      <c r="I168" s="4"/>
      <c r="J168" s="4"/>
      <c r="K168" s="4" t="n">
        <v>0</v>
      </c>
      <c r="L168" s="4" t="n">
        <v>4</v>
      </c>
      <c r="M168" s="4" t="n">
        <v>2</v>
      </c>
      <c r="N168" s="4"/>
      <c r="O168" s="4" t="s">
        <v>309</v>
      </c>
      <c r="P168" s="4"/>
      <c r="Q168" s="4"/>
      <c r="R168" s="4" t="s">
        <v>71</v>
      </c>
      <c r="S168" s="4"/>
      <c r="T168" s="4"/>
      <c r="U168" s="4" t="s">
        <v>196</v>
      </c>
    </row>
    <row r="169" customFormat="false" ht="15" hidden="false" customHeight="false" outlineLevel="0" collapsed="false">
      <c r="A169" s="4" t="s">
        <v>40</v>
      </c>
      <c r="B169" s="4" t="s">
        <v>551</v>
      </c>
      <c r="C169" s="4" t="s">
        <v>73</v>
      </c>
      <c r="D169" s="4" t="s">
        <v>547</v>
      </c>
      <c r="E169" s="4" t="s">
        <v>552</v>
      </c>
      <c r="F169" s="7" t="n">
        <v>36.54595</v>
      </c>
      <c r="G169" s="7" t="n">
        <v>10.83667</v>
      </c>
      <c r="H169" s="8" t="s">
        <v>117</v>
      </c>
      <c r="I169" s="4"/>
      <c r="J169" s="4"/>
      <c r="K169" s="4" t="n">
        <v>0</v>
      </c>
      <c r="L169" s="4" t="n">
        <v>4</v>
      </c>
      <c r="M169" s="4" t="n">
        <v>2</v>
      </c>
      <c r="N169" s="4"/>
      <c r="O169" s="4" t="s">
        <v>309</v>
      </c>
      <c r="P169" s="4"/>
      <c r="Q169" s="4"/>
      <c r="R169" s="4" t="s">
        <v>71</v>
      </c>
      <c r="S169" s="4"/>
      <c r="T169" s="4"/>
      <c r="U169" s="4" t="s">
        <v>196</v>
      </c>
    </row>
    <row r="170" customFormat="false" ht="15" hidden="false" customHeight="false" outlineLevel="0" collapsed="false">
      <c r="A170" s="4" t="s">
        <v>40</v>
      </c>
      <c r="B170" s="4" t="s">
        <v>553</v>
      </c>
      <c r="C170" s="4" t="s">
        <v>73</v>
      </c>
      <c r="D170" s="4" t="s">
        <v>547</v>
      </c>
      <c r="E170" s="4" t="s">
        <v>554</v>
      </c>
      <c r="F170" s="7" t="n">
        <v>36.54595</v>
      </c>
      <c r="G170" s="7" t="n">
        <v>10.83667</v>
      </c>
      <c r="H170" s="8" t="s">
        <v>117</v>
      </c>
      <c r="I170" s="4"/>
      <c r="J170" s="4"/>
      <c r="K170" s="4" t="n">
        <v>1</v>
      </c>
      <c r="L170" s="4" t="n">
        <v>2</v>
      </c>
      <c r="M170" s="4" t="n">
        <v>2</v>
      </c>
      <c r="N170" s="4"/>
      <c r="O170" s="4" t="s">
        <v>309</v>
      </c>
      <c r="P170" s="4"/>
      <c r="Q170" s="4"/>
      <c r="R170" s="4" t="s">
        <v>71</v>
      </c>
      <c r="S170" s="4"/>
      <c r="T170" s="4"/>
      <c r="U170" s="4" t="s">
        <v>196</v>
      </c>
    </row>
    <row r="171" customFormat="false" ht="15" hidden="false" customHeight="false" outlineLevel="0" collapsed="false">
      <c r="A171" s="4" t="s">
        <v>40</v>
      </c>
      <c r="B171" s="4" t="s">
        <v>555</v>
      </c>
      <c r="C171" s="4" t="s">
        <v>73</v>
      </c>
      <c r="D171" s="4" t="s">
        <v>547</v>
      </c>
      <c r="E171" s="4" t="s">
        <v>556</v>
      </c>
      <c r="F171" s="7" t="n">
        <v>36.54595</v>
      </c>
      <c r="G171" s="7" t="n">
        <v>10.83667</v>
      </c>
      <c r="H171" s="8" t="s">
        <v>117</v>
      </c>
      <c r="I171" s="4"/>
      <c r="J171" s="4"/>
      <c r="K171" s="4" t="n">
        <v>0</v>
      </c>
      <c r="L171" s="4" t="n">
        <v>4</v>
      </c>
      <c r="M171" s="4" t="n">
        <v>2</v>
      </c>
      <c r="N171" s="4"/>
      <c r="O171" s="4" t="s">
        <v>309</v>
      </c>
      <c r="P171" s="4"/>
      <c r="Q171" s="4"/>
      <c r="R171" s="4" t="s">
        <v>71</v>
      </c>
      <c r="S171" s="4"/>
      <c r="T171" s="4"/>
      <c r="U171" s="4" t="s">
        <v>196</v>
      </c>
    </row>
    <row r="172" customFormat="false" ht="15" hidden="false" customHeight="false" outlineLevel="0" collapsed="false">
      <c r="A172" s="4" t="s">
        <v>40</v>
      </c>
      <c r="B172" s="4" t="s">
        <v>557</v>
      </c>
      <c r="C172" s="4" t="s">
        <v>73</v>
      </c>
      <c r="D172" s="4" t="s">
        <v>547</v>
      </c>
      <c r="E172" s="4" t="s">
        <v>558</v>
      </c>
      <c r="F172" s="7" t="n">
        <v>36.54595</v>
      </c>
      <c r="G172" s="7" t="n">
        <v>10.83667</v>
      </c>
      <c r="H172" s="8" t="s">
        <v>117</v>
      </c>
      <c r="I172" s="4"/>
      <c r="J172" s="4"/>
      <c r="K172" s="4" t="n">
        <v>0</v>
      </c>
      <c r="L172" s="4" t="n">
        <v>4</v>
      </c>
      <c r="M172" s="4" t="n">
        <v>2</v>
      </c>
      <c r="N172" s="4"/>
      <c r="O172" s="4" t="s">
        <v>309</v>
      </c>
      <c r="P172" s="4"/>
      <c r="Q172" s="4"/>
      <c r="R172" s="4" t="s">
        <v>71</v>
      </c>
      <c r="S172" s="4"/>
      <c r="T172" s="4"/>
      <c r="U172" s="4" t="s">
        <v>196</v>
      </c>
    </row>
    <row r="173" customFormat="false" ht="15" hidden="false" customHeight="false" outlineLevel="0" collapsed="false">
      <c r="A173" s="4" t="s">
        <v>40</v>
      </c>
      <c r="B173" s="4" t="s">
        <v>559</v>
      </c>
      <c r="C173" s="4" t="s">
        <v>73</v>
      </c>
      <c r="D173" s="4" t="s">
        <v>560</v>
      </c>
      <c r="E173" s="4" t="s">
        <v>561</v>
      </c>
      <c r="F173" s="7" t="n">
        <v>36.57212</v>
      </c>
      <c r="G173" s="7" t="n">
        <v>10.86788</v>
      </c>
      <c r="H173" s="8" t="s">
        <v>213</v>
      </c>
      <c r="I173" s="4"/>
      <c r="J173" s="4"/>
      <c r="K173" s="4" t="n">
        <v>0</v>
      </c>
      <c r="L173" s="4" t="n">
        <v>4</v>
      </c>
      <c r="M173" s="4" t="n">
        <v>4</v>
      </c>
      <c r="N173" s="4"/>
      <c r="O173" s="4" t="s">
        <v>309</v>
      </c>
      <c r="P173" s="4"/>
      <c r="Q173" s="4"/>
      <c r="R173" s="4" t="s">
        <v>71</v>
      </c>
      <c r="S173" s="4"/>
      <c r="T173" s="4"/>
      <c r="U173" s="4" t="s">
        <v>196</v>
      </c>
    </row>
    <row r="174" customFormat="false" ht="15" hidden="false" customHeight="false" outlineLevel="0" collapsed="false">
      <c r="A174" s="4" t="s">
        <v>40</v>
      </c>
      <c r="B174" s="4" t="s">
        <v>562</v>
      </c>
      <c r="C174" s="4" t="s">
        <v>73</v>
      </c>
      <c r="D174" s="4" t="s">
        <v>560</v>
      </c>
      <c r="E174" s="4" t="s">
        <v>563</v>
      </c>
      <c r="F174" s="7" t="n">
        <v>36.57212</v>
      </c>
      <c r="G174" s="7" t="n">
        <v>10.86788</v>
      </c>
      <c r="H174" s="8" t="s">
        <v>213</v>
      </c>
      <c r="I174" s="4"/>
      <c r="J174" s="4"/>
      <c r="K174" s="4" t="n">
        <v>1</v>
      </c>
      <c r="L174" s="4" t="n">
        <v>4</v>
      </c>
      <c r="M174" s="4" t="n">
        <v>4</v>
      </c>
      <c r="N174" s="4"/>
      <c r="O174" s="4" t="s">
        <v>309</v>
      </c>
      <c r="P174" s="4"/>
      <c r="Q174" s="4"/>
      <c r="R174" s="4" t="s">
        <v>71</v>
      </c>
      <c r="S174" s="4"/>
      <c r="T174" s="4"/>
      <c r="U174" s="4" t="s">
        <v>196</v>
      </c>
    </row>
    <row r="175" customFormat="false" ht="15" hidden="false" customHeight="false" outlineLevel="0" collapsed="false">
      <c r="A175" s="4" t="s">
        <v>40</v>
      </c>
      <c r="B175" s="4" t="s">
        <v>564</v>
      </c>
      <c r="C175" s="4" t="s">
        <v>73</v>
      </c>
      <c r="D175" s="4" t="s">
        <v>560</v>
      </c>
      <c r="E175" s="4" t="s">
        <v>565</v>
      </c>
      <c r="F175" s="7" t="n">
        <v>36.57212</v>
      </c>
      <c r="G175" s="7" t="n">
        <v>10.86788</v>
      </c>
      <c r="H175" s="8" t="s">
        <v>213</v>
      </c>
      <c r="I175" s="4"/>
      <c r="J175" s="4"/>
      <c r="K175" s="4" t="n">
        <v>0</v>
      </c>
      <c r="L175" s="4" t="n">
        <v>4</v>
      </c>
      <c r="M175" s="4" t="n">
        <v>4</v>
      </c>
      <c r="N175" s="4"/>
      <c r="O175" s="4" t="s">
        <v>309</v>
      </c>
      <c r="P175" s="4"/>
      <c r="Q175" s="4"/>
      <c r="R175" s="4" t="s">
        <v>71</v>
      </c>
      <c r="S175" s="4"/>
      <c r="T175" s="4"/>
      <c r="U175" s="4" t="s">
        <v>196</v>
      </c>
    </row>
    <row r="176" customFormat="false" ht="15" hidden="false" customHeight="false" outlineLevel="0" collapsed="false">
      <c r="A176" s="4" t="s">
        <v>40</v>
      </c>
      <c r="B176" s="4" t="s">
        <v>566</v>
      </c>
      <c r="C176" s="4" t="s">
        <v>73</v>
      </c>
      <c r="D176" s="4" t="s">
        <v>560</v>
      </c>
      <c r="E176" s="4" t="s">
        <v>567</v>
      </c>
      <c r="F176" s="7" t="n">
        <v>36.57212</v>
      </c>
      <c r="G176" s="7" t="n">
        <v>10.86788</v>
      </c>
      <c r="H176" s="8" t="s">
        <v>213</v>
      </c>
      <c r="I176" s="4"/>
      <c r="J176" s="4"/>
      <c r="K176" s="4" t="n">
        <v>0</v>
      </c>
      <c r="L176" s="4" t="n">
        <v>4</v>
      </c>
      <c r="M176" s="4" t="n">
        <v>0</v>
      </c>
      <c r="N176" s="4"/>
      <c r="O176" s="4" t="s">
        <v>309</v>
      </c>
      <c r="P176" s="4"/>
      <c r="Q176" s="4"/>
      <c r="R176" s="4" t="s">
        <v>71</v>
      </c>
      <c r="S176" s="4"/>
      <c r="T176" s="4"/>
      <c r="U176" s="4" t="s">
        <v>196</v>
      </c>
    </row>
    <row r="177" customFormat="false" ht="15" hidden="false" customHeight="false" outlineLevel="0" collapsed="false">
      <c r="A177" s="4" t="s">
        <v>40</v>
      </c>
      <c r="B177" s="4" t="s">
        <v>568</v>
      </c>
      <c r="C177" s="4" t="s">
        <v>73</v>
      </c>
      <c r="D177" s="4" t="s">
        <v>560</v>
      </c>
      <c r="E177" s="4" t="s">
        <v>569</v>
      </c>
      <c r="F177" s="7" t="n">
        <v>36.57212</v>
      </c>
      <c r="G177" s="7" t="n">
        <v>10.86788</v>
      </c>
      <c r="H177" s="8" t="s">
        <v>213</v>
      </c>
      <c r="I177" s="4"/>
      <c r="J177" s="4"/>
      <c r="K177" s="4" t="n">
        <v>0</v>
      </c>
      <c r="L177" s="4" t="n">
        <v>4</v>
      </c>
      <c r="M177" s="4" t="n">
        <v>0</v>
      </c>
      <c r="N177" s="4"/>
      <c r="O177" s="4" t="s">
        <v>309</v>
      </c>
      <c r="P177" s="4"/>
      <c r="Q177" s="4"/>
      <c r="R177" s="4" t="s">
        <v>71</v>
      </c>
      <c r="S177" s="4"/>
      <c r="T177" s="4"/>
      <c r="U177" s="4" t="s">
        <v>196</v>
      </c>
    </row>
    <row r="178" customFormat="false" ht="15" hidden="false" customHeight="false" outlineLevel="0" collapsed="false">
      <c r="A178" s="4" t="s">
        <v>40</v>
      </c>
      <c r="B178" s="4" t="s">
        <v>570</v>
      </c>
      <c r="C178" s="4" t="s">
        <v>73</v>
      </c>
      <c r="D178" s="4" t="s">
        <v>571</v>
      </c>
      <c r="E178" s="4" t="s">
        <v>572</v>
      </c>
      <c r="F178" s="7" t="n">
        <v>36.78071</v>
      </c>
      <c r="G178" s="7" t="n">
        <v>10.99391</v>
      </c>
      <c r="H178" s="8" t="s">
        <v>117</v>
      </c>
      <c r="I178" s="4"/>
      <c r="J178" s="4"/>
      <c r="K178" s="4" t="n">
        <v>0</v>
      </c>
      <c r="L178" s="4" t="n">
        <v>2</v>
      </c>
      <c r="M178" s="4" t="n">
        <v>2</v>
      </c>
      <c r="N178" s="4"/>
      <c r="O178" s="4" t="s">
        <v>309</v>
      </c>
      <c r="P178" s="4"/>
      <c r="Q178" s="4"/>
      <c r="R178" s="4" t="s">
        <v>71</v>
      </c>
      <c r="S178" s="4"/>
      <c r="T178" s="4"/>
      <c r="U178" s="4" t="s">
        <v>196</v>
      </c>
    </row>
    <row r="179" customFormat="false" ht="15" hidden="false" customHeight="false" outlineLevel="0" collapsed="false">
      <c r="A179" s="4" t="s">
        <v>40</v>
      </c>
      <c r="B179" s="4" t="s">
        <v>573</v>
      </c>
      <c r="C179" s="4" t="s">
        <v>73</v>
      </c>
      <c r="D179" s="4" t="s">
        <v>571</v>
      </c>
      <c r="E179" s="4" t="s">
        <v>522</v>
      </c>
      <c r="F179" s="7" t="n">
        <v>36.78071</v>
      </c>
      <c r="G179" s="7" t="n">
        <v>10.99391</v>
      </c>
      <c r="H179" s="8" t="s">
        <v>117</v>
      </c>
      <c r="I179" s="4"/>
      <c r="J179" s="4"/>
      <c r="K179" s="4" t="n">
        <v>0</v>
      </c>
      <c r="L179" s="4" t="n">
        <v>2</v>
      </c>
      <c r="M179" s="4" t="n">
        <v>2</v>
      </c>
      <c r="N179" s="4"/>
      <c r="O179" s="4" t="s">
        <v>309</v>
      </c>
      <c r="P179" s="4"/>
      <c r="Q179" s="4"/>
      <c r="R179" s="4" t="s">
        <v>71</v>
      </c>
      <c r="S179" s="4"/>
      <c r="T179" s="4"/>
      <c r="U179" s="4" t="s">
        <v>196</v>
      </c>
    </row>
    <row r="180" customFormat="false" ht="15" hidden="false" customHeight="false" outlineLevel="0" collapsed="false">
      <c r="A180" s="4" t="s">
        <v>40</v>
      </c>
      <c r="B180" s="4" t="s">
        <v>574</v>
      </c>
      <c r="C180" s="4" t="s">
        <v>73</v>
      </c>
      <c r="D180" s="4" t="s">
        <v>571</v>
      </c>
      <c r="E180" s="4" t="s">
        <v>575</v>
      </c>
      <c r="F180" s="7" t="n">
        <v>36.78071</v>
      </c>
      <c r="G180" s="7" t="n">
        <v>10.99391</v>
      </c>
      <c r="H180" s="8" t="s">
        <v>117</v>
      </c>
      <c r="I180" s="4"/>
      <c r="J180" s="4"/>
      <c r="K180" s="4" t="n">
        <v>0</v>
      </c>
      <c r="L180" s="4" t="n">
        <v>2</v>
      </c>
      <c r="M180" s="4" t="n">
        <v>2</v>
      </c>
      <c r="N180" s="4"/>
      <c r="O180" s="4" t="s">
        <v>309</v>
      </c>
      <c r="P180" s="4"/>
      <c r="Q180" s="4"/>
      <c r="R180" s="4" t="s">
        <v>71</v>
      </c>
      <c r="S180" s="4"/>
      <c r="T180" s="4"/>
      <c r="U180" s="4" t="s">
        <v>196</v>
      </c>
    </row>
    <row r="181" customFormat="false" ht="15" hidden="false" customHeight="false" outlineLevel="0" collapsed="false">
      <c r="A181" s="4" t="s">
        <v>40</v>
      </c>
      <c r="B181" s="4" t="s">
        <v>576</v>
      </c>
      <c r="C181" s="4" t="s">
        <v>73</v>
      </c>
      <c r="D181" s="4" t="s">
        <v>571</v>
      </c>
      <c r="E181" s="4" t="s">
        <v>577</v>
      </c>
      <c r="F181" s="7" t="n">
        <v>36.78071</v>
      </c>
      <c r="G181" s="7" t="n">
        <v>10.99391</v>
      </c>
      <c r="H181" s="8" t="s">
        <v>117</v>
      </c>
      <c r="I181" s="4"/>
      <c r="J181" s="4"/>
      <c r="K181" s="4" t="n">
        <v>0</v>
      </c>
      <c r="L181" s="4" t="n">
        <v>2</v>
      </c>
      <c r="M181" s="4" t="n">
        <v>2</v>
      </c>
      <c r="N181" s="4"/>
      <c r="O181" s="4" t="s">
        <v>309</v>
      </c>
      <c r="P181" s="4"/>
      <c r="Q181" s="4"/>
      <c r="R181" s="4" t="s">
        <v>71</v>
      </c>
      <c r="S181" s="4"/>
      <c r="T181" s="4"/>
      <c r="U181" s="4" t="s">
        <v>196</v>
      </c>
    </row>
    <row r="182" customFormat="false" ht="15" hidden="false" customHeight="false" outlineLevel="0" collapsed="false">
      <c r="A182" s="4" t="s">
        <v>40</v>
      </c>
      <c r="B182" s="4" t="s">
        <v>578</v>
      </c>
      <c r="C182" s="4" t="s">
        <v>73</v>
      </c>
      <c r="D182" s="4" t="s">
        <v>571</v>
      </c>
      <c r="E182" s="4" t="s">
        <v>579</v>
      </c>
      <c r="F182" s="7" t="n">
        <v>36.78071</v>
      </c>
      <c r="G182" s="7" t="n">
        <v>10.99391</v>
      </c>
      <c r="H182" s="8" t="s">
        <v>117</v>
      </c>
      <c r="I182" s="4"/>
      <c r="J182" s="4"/>
      <c r="K182" s="4" t="n">
        <v>0</v>
      </c>
      <c r="L182" s="4" t="n">
        <v>2</v>
      </c>
      <c r="M182" s="4" t="n">
        <v>2</v>
      </c>
      <c r="N182" s="4"/>
      <c r="O182" s="4" t="s">
        <v>309</v>
      </c>
      <c r="P182" s="4"/>
      <c r="Q182" s="4"/>
      <c r="R182" s="4" t="s">
        <v>71</v>
      </c>
      <c r="S182" s="4"/>
      <c r="T182" s="4"/>
      <c r="U182" s="4" t="s">
        <v>196</v>
      </c>
    </row>
    <row r="183" customFormat="false" ht="15" hidden="false" customHeight="false" outlineLevel="0" collapsed="false">
      <c r="A183" s="4" t="s">
        <v>40</v>
      </c>
      <c r="B183" s="4" t="s">
        <v>580</v>
      </c>
      <c r="C183" s="4" t="s">
        <v>73</v>
      </c>
      <c r="D183" s="4" t="s">
        <v>571</v>
      </c>
      <c r="E183" s="4" t="s">
        <v>581</v>
      </c>
      <c r="F183" s="7" t="n">
        <v>36.78071</v>
      </c>
      <c r="G183" s="7" t="n">
        <v>10.99391</v>
      </c>
      <c r="H183" s="8" t="s">
        <v>117</v>
      </c>
      <c r="I183" s="4"/>
      <c r="J183" s="4"/>
      <c r="K183" s="4" t="n">
        <v>0</v>
      </c>
      <c r="L183" s="4" t="n">
        <v>3</v>
      </c>
      <c r="M183" s="4" t="n">
        <v>3</v>
      </c>
      <c r="N183" s="4"/>
      <c r="O183" s="4" t="s">
        <v>309</v>
      </c>
      <c r="P183" s="4"/>
      <c r="Q183" s="4"/>
      <c r="R183" s="4" t="s">
        <v>71</v>
      </c>
      <c r="S183" s="4"/>
      <c r="T183" s="4"/>
      <c r="U183" s="4" t="s">
        <v>196</v>
      </c>
    </row>
    <row r="184" customFormat="false" ht="15" hidden="false" customHeight="false" outlineLevel="0" collapsed="false">
      <c r="A184" s="4" t="s">
        <v>40</v>
      </c>
      <c r="B184" s="4" t="s">
        <v>582</v>
      </c>
      <c r="C184" s="4" t="s">
        <v>73</v>
      </c>
      <c r="D184" s="4" t="s">
        <v>571</v>
      </c>
      <c r="E184" s="4" t="s">
        <v>583</v>
      </c>
      <c r="F184" s="7" t="n">
        <v>36.78071</v>
      </c>
      <c r="G184" s="7" t="n">
        <v>10.99391</v>
      </c>
      <c r="H184" s="8" t="s">
        <v>117</v>
      </c>
      <c r="I184" s="4"/>
      <c r="J184" s="4"/>
      <c r="K184" s="4" t="n">
        <v>0</v>
      </c>
      <c r="L184" s="4" t="n">
        <v>2</v>
      </c>
      <c r="M184" s="4" t="n">
        <v>3</v>
      </c>
      <c r="N184" s="4"/>
      <c r="O184" s="4" t="s">
        <v>309</v>
      </c>
      <c r="P184" s="4"/>
      <c r="Q184" s="4"/>
      <c r="R184" s="4" t="s">
        <v>71</v>
      </c>
      <c r="S184" s="4"/>
      <c r="T184" s="4"/>
      <c r="U184" s="4" t="s">
        <v>196</v>
      </c>
    </row>
    <row r="185" customFormat="false" ht="15" hidden="false" customHeight="false" outlineLevel="0" collapsed="false">
      <c r="A185" s="4" t="s">
        <v>40</v>
      </c>
      <c r="B185" s="4" t="s">
        <v>584</v>
      </c>
      <c r="C185" s="4" t="s">
        <v>73</v>
      </c>
      <c r="D185" s="4" t="s">
        <v>571</v>
      </c>
      <c r="E185" s="4" t="s">
        <v>585</v>
      </c>
      <c r="F185" s="7" t="n">
        <v>36.78071</v>
      </c>
      <c r="G185" s="7" t="n">
        <v>10.99391</v>
      </c>
      <c r="H185" s="8" t="s">
        <v>117</v>
      </c>
      <c r="I185" s="4"/>
      <c r="J185" s="4"/>
      <c r="K185" s="4" t="n">
        <v>0</v>
      </c>
      <c r="L185" s="4" t="n">
        <v>3</v>
      </c>
      <c r="M185" s="4" t="n">
        <v>3</v>
      </c>
      <c r="N185" s="4"/>
      <c r="O185" s="4" t="s">
        <v>309</v>
      </c>
      <c r="P185" s="4"/>
      <c r="Q185" s="4"/>
      <c r="R185" s="4" t="s">
        <v>71</v>
      </c>
      <c r="S185" s="4"/>
      <c r="T185" s="4"/>
      <c r="U185" s="4" t="s">
        <v>196</v>
      </c>
    </row>
    <row r="186" customFormat="false" ht="15" hidden="false" customHeight="false" outlineLevel="0" collapsed="false">
      <c r="A186" s="4" t="s">
        <v>40</v>
      </c>
      <c r="B186" s="4" t="s">
        <v>586</v>
      </c>
      <c r="C186" s="4" t="s">
        <v>73</v>
      </c>
      <c r="D186" s="4" t="s">
        <v>571</v>
      </c>
      <c r="E186" s="4" t="s">
        <v>465</v>
      </c>
      <c r="F186" s="7" t="n">
        <v>36.78071</v>
      </c>
      <c r="G186" s="7" t="n">
        <v>10.99391</v>
      </c>
      <c r="H186" s="8" t="s">
        <v>117</v>
      </c>
      <c r="I186" s="4"/>
      <c r="J186" s="4"/>
      <c r="K186" s="4" t="n">
        <v>1</v>
      </c>
      <c r="L186" s="4" t="n">
        <v>3</v>
      </c>
      <c r="M186" s="4" t="n">
        <v>2</v>
      </c>
      <c r="N186" s="4"/>
      <c r="O186" s="4" t="s">
        <v>309</v>
      </c>
      <c r="P186" s="4"/>
      <c r="Q186" s="4"/>
      <c r="R186" s="4" t="s">
        <v>71</v>
      </c>
      <c r="S186" s="4"/>
      <c r="T186" s="4"/>
      <c r="U186" s="4" t="s">
        <v>196</v>
      </c>
    </row>
    <row r="187" customFormat="false" ht="15" hidden="false" customHeight="false" outlineLevel="0" collapsed="false">
      <c r="A187" s="4" t="s">
        <v>40</v>
      </c>
      <c r="B187" s="4" t="s">
        <v>587</v>
      </c>
      <c r="C187" s="4" t="s">
        <v>73</v>
      </c>
      <c r="D187" s="4" t="s">
        <v>571</v>
      </c>
      <c r="E187" s="4" t="s">
        <v>588</v>
      </c>
      <c r="F187" s="7" t="n">
        <v>36.78071</v>
      </c>
      <c r="G187" s="7" t="n">
        <v>10.99391</v>
      </c>
      <c r="H187" s="8" t="s">
        <v>117</v>
      </c>
      <c r="I187" s="4"/>
      <c r="J187" s="4"/>
      <c r="K187" s="4" t="n">
        <v>0</v>
      </c>
      <c r="L187" s="4" t="n">
        <v>3</v>
      </c>
      <c r="M187" s="4" t="n">
        <v>2</v>
      </c>
      <c r="N187" s="4"/>
      <c r="O187" s="4" t="s">
        <v>309</v>
      </c>
      <c r="P187" s="4"/>
      <c r="Q187" s="4"/>
      <c r="R187" s="4" t="s">
        <v>71</v>
      </c>
      <c r="S187" s="4"/>
      <c r="T187" s="4"/>
      <c r="U187" s="4" t="s">
        <v>196</v>
      </c>
    </row>
    <row r="188" customFormat="false" ht="15" hidden="false" customHeight="false" outlineLevel="0" collapsed="false">
      <c r="A188" s="4" t="s">
        <v>40</v>
      </c>
      <c r="B188" s="4" t="s">
        <v>589</v>
      </c>
      <c r="C188" s="4" t="s">
        <v>73</v>
      </c>
      <c r="D188" s="4" t="s">
        <v>571</v>
      </c>
      <c r="E188" s="4" t="s">
        <v>590</v>
      </c>
      <c r="F188" s="7" t="n">
        <v>36.78071</v>
      </c>
      <c r="G188" s="7" t="n">
        <v>10.99391</v>
      </c>
      <c r="H188" s="8" t="s">
        <v>117</v>
      </c>
      <c r="I188" s="4"/>
      <c r="J188" s="4"/>
      <c r="K188" s="4" t="n">
        <v>0</v>
      </c>
      <c r="L188" s="4" t="n">
        <v>2</v>
      </c>
      <c r="M188" s="4" t="n">
        <v>2</v>
      </c>
      <c r="N188" s="4"/>
      <c r="O188" s="4" t="s">
        <v>309</v>
      </c>
      <c r="P188" s="4"/>
      <c r="Q188" s="4"/>
      <c r="R188" s="4" t="s">
        <v>71</v>
      </c>
      <c r="S188" s="4"/>
      <c r="T188" s="4"/>
      <c r="U188" s="4" t="s">
        <v>196</v>
      </c>
    </row>
    <row r="189" customFormat="false" ht="15" hidden="false" customHeight="false" outlineLevel="0" collapsed="false">
      <c r="A189" s="4" t="s">
        <v>40</v>
      </c>
      <c r="B189" s="4" t="s">
        <v>591</v>
      </c>
      <c r="C189" s="4" t="s">
        <v>73</v>
      </c>
      <c r="D189" s="4" t="s">
        <v>571</v>
      </c>
      <c r="E189" s="4" t="s">
        <v>592</v>
      </c>
      <c r="F189" s="7" t="n">
        <v>36.78071</v>
      </c>
      <c r="G189" s="7" t="n">
        <v>10.99391</v>
      </c>
      <c r="H189" s="8" t="s">
        <v>117</v>
      </c>
      <c r="I189" s="4"/>
      <c r="J189" s="4"/>
      <c r="K189" s="4" t="n">
        <v>1</v>
      </c>
      <c r="L189" s="4" t="n">
        <v>2</v>
      </c>
      <c r="M189" s="4" t="n">
        <v>2</v>
      </c>
      <c r="N189" s="4"/>
      <c r="O189" s="4" t="s">
        <v>309</v>
      </c>
      <c r="P189" s="4"/>
      <c r="Q189" s="4"/>
      <c r="R189" s="4" t="s">
        <v>71</v>
      </c>
      <c r="S189" s="4"/>
      <c r="T189" s="4"/>
      <c r="U189" s="4" t="s">
        <v>196</v>
      </c>
    </row>
    <row r="190" customFormat="false" ht="15" hidden="false" customHeight="false" outlineLevel="0" collapsed="false">
      <c r="A190" s="4" t="s">
        <v>40</v>
      </c>
      <c r="B190" s="4" t="s">
        <v>593</v>
      </c>
      <c r="C190" s="4" t="s">
        <v>73</v>
      </c>
      <c r="D190" s="4" t="s">
        <v>594</v>
      </c>
      <c r="E190" s="4" t="s">
        <v>594</v>
      </c>
      <c r="F190" s="7" t="n">
        <v>36.71733</v>
      </c>
      <c r="G190" s="7" t="n">
        <v>10.96591</v>
      </c>
      <c r="H190" s="8" t="s">
        <v>213</v>
      </c>
      <c r="I190" s="4"/>
      <c r="J190" s="4"/>
      <c r="K190" s="4" t="n">
        <v>1</v>
      </c>
      <c r="L190" s="4" t="n">
        <v>10</v>
      </c>
      <c r="M190" s="4" t="n">
        <v>6</v>
      </c>
      <c r="N190" s="4"/>
      <c r="O190" s="4" t="s">
        <v>309</v>
      </c>
      <c r="P190" s="4"/>
      <c r="Q190" s="4"/>
      <c r="R190" s="4" t="s">
        <v>71</v>
      </c>
      <c r="S190" s="4"/>
      <c r="T190" s="4"/>
      <c r="U190" s="4" t="s">
        <v>196</v>
      </c>
    </row>
    <row r="191" customFormat="false" ht="15" hidden="false" customHeight="false" outlineLevel="0" collapsed="false">
      <c r="A191" s="4" t="s">
        <v>40</v>
      </c>
      <c r="B191" s="4" t="s">
        <v>595</v>
      </c>
      <c r="C191" s="4" t="s">
        <v>73</v>
      </c>
      <c r="D191" s="4" t="s">
        <v>596</v>
      </c>
      <c r="E191" s="4" t="s">
        <v>597</v>
      </c>
      <c r="F191" s="7" t="n">
        <v>36.70312</v>
      </c>
      <c r="G191" s="7" t="n">
        <v>10.94311</v>
      </c>
      <c r="H191" s="8" t="s">
        <v>238</v>
      </c>
      <c r="I191" s="4"/>
      <c r="J191" s="4"/>
      <c r="K191" s="4" t="n">
        <v>0</v>
      </c>
      <c r="L191" s="4" t="n">
        <v>8</v>
      </c>
      <c r="M191" s="4" t="n">
        <v>3</v>
      </c>
      <c r="N191" s="4"/>
      <c r="O191" s="4" t="s">
        <v>309</v>
      </c>
      <c r="P191" s="4"/>
      <c r="Q191" s="4"/>
      <c r="R191" s="4" t="s">
        <v>71</v>
      </c>
      <c r="S191" s="4"/>
      <c r="T191" s="4"/>
      <c r="U191" s="4" t="s">
        <v>196</v>
      </c>
    </row>
    <row r="192" customFormat="false" ht="15" hidden="false" customHeight="false" outlineLevel="0" collapsed="false">
      <c r="A192" s="4" t="s">
        <v>40</v>
      </c>
      <c r="B192" s="4" t="s">
        <v>598</v>
      </c>
      <c r="C192" s="4" t="s">
        <v>73</v>
      </c>
      <c r="D192" s="4" t="s">
        <v>596</v>
      </c>
      <c r="E192" s="4" t="s">
        <v>599</v>
      </c>
      <c r="F192" s="7" t="n">
        <v>36.67461</v>
      </c>
      <c r="G192" s="7" t="n">
        <v>10.93379</v>
      </c>
      <c r="H192" s="8" t="s">
        <v>213</v>
      </c>
      <c r="I192" s="4"/>
      <c r="J192" s="4"/>
      <c r="K192" s="4" t="n">
        <v>0</v>
      </c>
      <c r="L192" s="4" t="n">
        <v>8</v>
      </c>
      <c r="M192" s="4" t="n">
        <v>3</v>
      </c>
      <c r="N192" s="4"/>
      <c r="O192" s="4" t="s">
        <v>309</v>
      </c>
      <c r="P192" s="4"/>
      <c r="Q192" s="4"/>
      <c r="R192" s="4" t="s">
        <v>71</v>
      </c>
      <c r="S192" s="4"/>
      <c r="T192" s="4"/>
      <c r="U192" s="4" t="s">
        <v>196</v>
      </c>
    </row>
    <row r="193" customFormat="false" ht="15" hidden="false" customHeight="false" outlineLevel="0" collapsed="false">
      <c r="A193" s="4" t="s">
        <v>40</v>
      </c>
      <c r="B193" s="4" t="s">
        <v>600</v>
      </c>
      <c r="C193" s="4" t="s">
        <v>85</v>
      </c>
      <c r="D193" s="4" t="s">
        <v>601</v>
      </c>
      <c r="E193" s="4" t="s">
        <v>602</v>
      </c>
      <c r="F193" s="7" t="n">
        <v>34.53646</v>
      </c>
      <c r="G193" s="7" t="n">
        <v>10.58085</v>
      </c>
      <c r="H193" s="8" t="s">
        <v>101</v>
      </c>
      <c r="I193" s="4"/>
      <c r="J193" s="4"/>
      <c r="K193" s="4" t="n">
        <v>4</v>
      </c>
      <c r="L193" s="4" t="n">
        <v>20</v>
      </c>
      <c r="M193" s="4" t="n">
        <v>5</v>
      </c>
      <c r="N193" s="4" t="s">
        <v>603</v>
      </c>
      <c r="O193" s="4" t="s">
        <v>309</v>
      </c>
      <c r="P193" s="4"/>
      <c r="Q193" s="4"/>
      <c r="R193" s="4" t="s">
        <v>71</v>
      </c>
      <c r="S193" s="4"/>
      <c r="T193" s="4"/>
      <c r="U193" s="4" t="s">
        <v>196</v>
      </c>
    </row>
    <row r="194" customFormat="false" ht="15" hidden="false" customHeight="false" outlineLevel="0" collapsed="false">
      <c r="A194" s="4" t="s">
        <v>40</v>
      </c>
      <c r="B194" s="4" t="s">
        <v>604</v>
      </c>
      <c r="C194" s="4" t="s">
        <v>85</v>
      </c>
      <c r="D194" s="4" t="s">
        <v>601</v>
      </c>
      <c r="E194" s="4" t="s">
        <v>605</v>
      </c>
      <c r="F194" s="7" t="n">
        <v>34.53646</v>
      </c>
      <c r="G194" s="7" t="n">
        <v>10.58085</v>
      </c>
      <c r="H194" s="8" t="s">
        <v>101</v>
      </c>
      <c r="I194" s="4"/>
      <c r="J194" s="4"/>
      <c r="K194" s="4" t="n">
        <v>4</v>
      </c>
      <c r="L194" s="4" t="n">
        <v>12</v>
      </c>
      <c r="M194" s="4" t="n">
        <v>9</v>
      </c>
      <c r="N194" s="4" t="s">
        <v>606</v>
      </c>
      <c r="O194" s="4" t="s">
        <v>309</v>
      </c>
      <c r="P194" s="4"/>
      <c r="Q194" s="4"/>
      <c r="R194" s="4" t="s">
        <v>71</v>
      </c>
      <c r="S194" s="4"/>
      <c r="T194" s="4"/>
      <c r="U194" s="4" t="s">
        <v>196</v>
      </c>
    </row>
    <row r="195" customFormat="false" ht="15" hidden="false" customHeight="false" outlineLevel="0" collapsed="false">
      <c r="A195" s="4" t="s">
        <v>40</v>
      </c>
      <c r="B195" s="4" t="s">
        <v>607</v>
      </c>
      <c r="C195" s="4" t="s">
        <v>85</v>
      </c>
      <c r="D195" s="4" t="s">
        <v>601</v>
      </c>
      <c r="E195" s="4" t="s">
        <v>608</v>
      </c>
      <c r="F195" s="7" t="n">
        <v>34.53646</v>
      </c>
      <c r="G195" s="7" t="n">
        <v>10.58085</v>
      </c>
      <c r="H195" s="8" t="s">
        <v>101</v>
      </c>
      <c r="I195" s="4"/>
      <c r="J195" s="4"/>
      <c r="K195" s="4" t="n">
        <v>4</v>
      </c>
      <c r="L195" s="4" t="n">
        <v>12</v>
      </c>
      <c r="M195" s="4" t="n">
        <v>10</v>
      </c>
      <c r="N195" s="4" t="s">
        <v>606</v>
      </c>
      <c r="O195" s="4" t="s">
        <v>309</v>
      </c>
      <c r="P195" s="4"/>
      <c r="Q195" s="4"/>
      <c r="R195" s="4" t="s">
        <v>71</v>
      </c>
      <c r="S195" s="4"/>
      <c r="T195" s="4"/>
      <c r="U195" s="4" t="s">
        <v>196</v>
      </c>
    </row>
    <row r="196" customFormat="false" ht="15" hidden="false" customHeight="false" outlineLevel="0" collapsed="false">
      <c r="A196" s="4" t="s">
        <v>40</v>
      </c>
      <c r="B196" s="4" t="s">
        <v>609</v>
      </c>
      <c r="C196" s="4" t="s">
        <v>85</v>
      </c>
      <c r="D196" s="4" t="s">
        <v>601</v>
      </c>
      <c r="E196" s="4" t="s">
        <v>333</v>
      </c>
      <c r="F196" s="7" t="n">
        <v>34.53646</v>
      </c>
      <c r="G196" s="7" t="n">
        <v>10.58085</v>
      </c>
      <c r="H196" s="8" t="s">
        <v>101</v>
      </c>
      <c r="I196" s="4"/>
      <c r="J196" s="4"/>
      <c r="K196" s="4" t="n">
        <v>4</v>
      </c>
      <c r="L196" s="4" t="n">
        <v>19</v>
      </c>
      <c r="M196" s="4" t="n">
        <v>8</v>
      </c>
      <c r="N196" s="4" t="s">
        <v>606</v>
      </c>
      <c r="O196" s="4" t="s">
        <v>309</v>
      </c>
      <c r="P196" s="4"/>
      <c r="Q196" s="4"/>
      <c r="R196" s="4" t="s">
        <v>71</v>
      </c>
      <c r="S196" s="4"/>
      <c r="T196" s="4"/>
      <c r="U196" s="4" t="s">
        <v>196</v>
      </c>
    </row>
    <row r="197" customFormat="false" ht="15" hidden="false" customHeight="false" outlineLevel="0" collapsed="false">
      <c r="A197" s="4" t="s">
        <v>40</v>
      </c>
      <c r="B197" s="4" t="s">
        <v>610</v>
      </c>
      <c r="C197" s="4" t="s">
        <v>85</v>
      </c>
      <c r="D197" s="4" t="s">
        <v>601</v>
      </c>
      <c r="E197" s="4" t="s">
        <v>611</v>
      </c>
      <c r="F197" s="7" t="n">
        <v>34.53646</v>
      </c>
      <c r="G197" s="7" t="n">
        <v>10.58085</v>
      </c>
      <c r="H197" s="8" t="s">
        <v>101</v>
      </c>
      <c r="I197" s="4"/>
      <c r="J197" s="4"/>
      <c r="K197" s="4" t="n">
        <v>4</v>
      </c>
      <c r="L197" s="4" t="n">
        <v>19</v>
      </c>
      <c r="M197" s="4" t="n">
        <v>12</v>
      </c>
      <c r="N197" s="4" t="s">
        <v>606</v>
      </c>
      <c r="O197" s="4" t="s">
        <v>309</v>
      </c>
      <c r="P197" s="4"/>
      <c r="Q197" s="4"/>
      <c r="R197" s="4" t="s">
        <v>71</v>
      </c>
      <c r="S197" s="4"/>
      <c r="T197" s="4"/>
      <c r="U197" s="4" t="s">
        <v>196</v>
      </c>
    </row>
    <row r="198" customFormat="false" ht="15" hidden="false" customHeight="false" outlineLevel="0" collapsed="false">
      <c r="A198" s="4" t="s">
        <v>40</v>
      </c>
      <c r="B198" s="4" t="s">
        <v>612</v>
      </c>
      <c r="C198" s="4" t="s">
        <v>85</v>
      </c>
      <c r="D198" s="4" t="s">
        <v>613</v>
      </c>
      <c r="E198" s="4"/>
      <c r="F198" s="4"/>
      <c r="G198" s="4"/>
      <c r="H198" s="8" t="s">
        <v>143</v>
      </c>
      <c r="I198" s="4"/>
      <c r="J198" s="4"/>
      <c r="K198" s="4" t="n">
        <v>1</v>
      </c>
      <c r="L198" s="4" t="n">
        <v>4</v>
      </c>
      <c r="M198" s="4" t="n">
        <v>4</v>
      </c>
      <c r="N198" s="4"/>
      <c r="O198" s="4" t="s">
        <v>309</v>
      </c>
      <c r="P198" s="4"/>
      <c r="Q198" s="4"/>
      <c r="R198" s="4" t="s">
        <v>71</v>
      </c>
      <c r="S198" s="4"/>
      <c r="T198" s="4"/>
      <c r="U198" s="4" t="s">
        <v>196</v>
      </c>
    </row>
    <row r="199" customFormat="false" ht="15" hidden="false" customHeight="false" outlineLevel="0" collapsed="false">
      <c r="A199" s="4" t="s">
        <v>40</v>
      </c>
      <c r="B199" s="4" t="s">
        <v>614</v>
      </c>
      <c r="C199" s="4" t="s">
        <v>85</v>
      </c>
      <c r="D199" s="4" t="s">
        <v>615</v>
      </c>
      <c r="E199" s="4"/>
      <c r="F199" s="4"/>
      <c r="G199" s="4"/>
      <c r="H199" s="8" t="s">
        <v>143</v>
      </c>
      <c r="I199" s="4"/>
      <c r="J199" s="4"/>
      <c r="K199" s="4" t="n">
        <v>1</v>
      </c>
      <c r="L199" s="4" t="n">
        <v>16</v>
      </c>
      <c r="M199" s="4" t="n">
        <v>13</v>
      </c>
      <c r="N199" s="4"/>
      <c r="O199" s="4" t="s">
        <v>309</v>
      </c>
      <c r="P199" s="4"/>
      <c r="Q199" s="4"/>
      <c r="R199" s="4" t="s">
        <v>71</v>
      </c>
      <c r="S199" s="4"/>
      <c r="T199" s="4"/>
      <c r="U199" s="4" t="s">
        <v>196</v>
      </c>
    </row>
    <row r="200" customFormat="false" ht="15" hidden="false" customHeight="false" outlineLevel="0" collapsed="false">
      <c r="A200" s="4" t="s">
        <v>40</v>
      </c>
      <c r="B200" s="4" t="s">
        <v>616</v>
      </c>
      <c r="C200" s="4" t="s">
        <v>85</v>
      </c>
      <c r="D200" s="4" t="s">
        <v>402</v>
      </c>
      <c r="E200" s="4"/>
      <c r="F200" s="7" t="n">
        <v>34.73944</v>
      </c>
      <c r="G200" s="7" t="n">
        <v>10.7604</v>
      </c>
      <c r="H200" s="8" t="s">
        <v>431</v>
      </c>
      <c r="I200" s="4"/>
      <c r="J200" s="4"/>
      <c r="K200" s="4" t="n">
        <v>1</v>
      </c>
      <c r="L200" s="4" t="n">
        <v>17</v>
      </c>
      <c r="M200" s="4" t="n">
        <v>8</v>
      </c>
      <c r="N200" s="4"/>
      <c r="O200" s="4" t="s">
        <v>309</v>
      </c>
      <c r="P200" s="4"/>
      <c r="Q200" s="4"/>
      <c r="R200" s="4" t="s">
        <v>71</v>
      </c>
      <c r="S200" s="4"/>
      <c r="T200" s="4"/>
      <c r="U200" s="4" t="s">
        <v>196</v>
      </c>
    </row>
    <row r="201" customFormat="false" ht="15" hidden="false" customHeight="false" outlineLevel="0" collapsed="false">
      <c r="A201" s="4" t="s">
        <v>40</v>
      </c>
      <c r="B201" s="4" t="s">
        <v>617</v>
      </c>
      <c r="C201" s="4" t="s">
        <v>85</v>
      </c>
      <c r="D201" s="4" t="s">
        <v>618</v>
      </c>
      <c r="E201" s="4"/>
      <c r="F201" s="7" t="n">
        <v>34.65542</v>
      </c>
      <c r="G201" s="7" t="n">
        <v>10.97223</v>
      </c>
      <c r="H201" s="8" t="s">
        <v>101</v>
      </c>
      <c r="I201" s="4"/>
      <c r="J201" s="4"/>
      <c r="K201" s="4" t="n">
        <v>1</v>
      </c>
      <c r="L201" s="4" t="n">
        <v>7</v>
      </c>
      <c r="M201" s="4" t="n">
        <v>7</v>
      </c>
      <c r="N201" s="4"/>
      <c r="O201" s="4" t="s">
        <v>309</v>
      </c>
      <c r="P201" s="4"/>
      <c r="Q201" s="4"/>
      <c r="R201" s="4" t="s">
        <v>71</v>
      </c>
      <c r="S201" s="4"/>
      <c r="T201" s="4"/>
      <c r="U201" s="4" t="s">
        <v>196</v>
      </c>
    </row>
    <row r="202" customFormat="false" ht="15" hidden="false" customHeight="false" outlineLevel="0" collapsed="false">
      <c r="A202" s="4" t="s">
        <v>40</v>
      </c>
      <c r="B202" s="4" t="s">
        <v>619</v>
      </c>
      <c r="C202" s="4" t="s">
        <v>85</v>
      </c>
      <c r="D202" s="4" t="s">
        <v>620</v>
      </c>
      <c r="E202" s="4"/>
      <c r="F202" s="7" t="n">
        <v>34.68813</v>
      </c>
      <c r="G202" s="7" t="n">
        <v>11.13751</v>
      </c>
      <c r="H202" s="8" t="s">
        <v>621</v>
      </c>
      <c r="I202" s="4"/>
      <c r="J202" s="4"/>
      <c r="K202" s="4" t="n">
        <v>1</v>
      </c>
      <c r="L202" s="4" t="n">
        <v>7</v>
      </c>
      <c r="M202" s="4" t="n">
        <v>7</v>
      </c>
      <c r="N202" s="4"/>
      <c r="O202" s="4" t="s">
        <v>309</v>
      </c>
      <c r="P202" s="4"/>
      <c r="Q202" s="4"/>
      <c r="R202" s="4" t="s">
        <v>71</v>
      </c>
      <c r="S202" s="4"/>
      <c r="T202" s="4"/>
      <c r="U202" s="4" t="s">
        <v>196</v>
      </c>
    </row>
    <row r="203" customFormat="false" ht="15" hidden="false" customHeight="false" outlineLevel="0" collapsed="false">
      <c r="A203" s="4" t="s">
        <v>40</v>
      </c>
      <c r="B203" s="4" t="s">
        <v>622</v>
      </c>
      <c r="C203" s="4" t="s">
        <v>91</v>
      </c>
      <c r="D203" s="4" t="s">
        <v>623</v>
      </c>
      <c r="E203" s="4"/>
      <c r="F203" s="7" t="n">
        <v>33.95891</v>
      </c>
      <c r="G203" s="7" t="n">
        <v>10.00143</v>
      </c>
      <c r="H203" s="8" t="s">
        <v>101</v>
      </c>
      <c r="I203" s="4"/>
      <c r="J203" s="4"/>
      <c r="K203" s="4" t="n">
        <v>1</v>
      </c>
      <c r="L203" s="4" t="n">
        <v>12</v>
      </c>
      <c r="M203" s="4" t="n">
        <v>4</v>
      </c>
      <c r="N203" s="4"/>
      <c r="O203" s="4" t="s">
        <v>309</v>
      </c>
      <c r="P203" s="4"/>
      <c r="Q203" s="4"/>
      <c r="R203" s="4" t="s">
        <v>71</v>
      </c>
      <c r="S203" s="4"/>
      <c r="T203" s="4"/>
      <c r="U203" s="4" t="s">
        <v>196</v>
      </c>
    </row>
    <row r="204" customFormat="false" ht="15" hidden="false" customHeight="false" outlineLevel="0" collapsed="false">
      <c r="A204" s="4" t="s">
        <v>40</v>
      </c>
      <c r="B204" s="4" t="s">
        <v>624</v>
      </c>
      <c r="C204" s="4" t="s">
        <v>91</v>
      </c>
      <c r="D204" s="4" t="s">
        <v>625</v>
      </c>
      <c r="E204" s="4"/>
      <c r="F204" s="7" t="n">
        <v>34.00462</v>
      </c>
      <c r="G204" s="7" t="n">
        <v>10.04717</v>
      </c>
      <c r="H204" s="8" t="s">
        <v>213</v>
      </c>
      <c r="I204" s="4"/>
      <c r="J204" s="4"/>
      <c r="K204" s="4" t="n">
        <v>1</v>
      </c>
      <c r="L204" s="4" t="n">
        <v>12</v>
      </c>
      <c r="M204" s="4" t="n">
        <v>6</v>
      </c>
      <c r="N204" s="4"/>
      <c r="O204" s="4" t="s">
        <v>309</v>
      </c>
      <c r="P204" s="4"/>
      <c r="Q204" s="4"/>
      <c r="R204" s="4" t="s">
        <v>71</v>
      </c>
      <c r="S204" s="4"/>
      <c r="T204" s="4"/>
      <c r="U204" s="4" t="s">
        <v>196</v>
      </c>
    </row>
    <row r="205" customFormat="false" ht="15" hidden="false" customHeight="false" outlineLevel="0" collapsed="false">
      <c r="A205" s="4" t="s">
        <v>40</v>
      </c>
      <c r="B205" s="4" t="s">
        <v>626</v>
      </c>
      <c r="C205" s="4" t="s">
        <v>91</v>
      </c>
      <c r="D205" s="4" t="s">
        <v>627</v>
      </c>
      <c r="E205" s="4"/>
      <c r="F205" s="7" t="n">
        <v>33.93982</v>
      </c>
      <c r="G205" s="7" t="n">
        <v>10.06503</v>
      </c>
      <c r="H205" s="8" t="s">
        <v>117</v>
      </c>
      <c r="I205" s="4"/>
      <c r="J205" s="4"/>
      <c r="K205" s="4" t="n">
        <v>1</v>
      </c>
      <c r="L205" s="4" t="n">
        <v>16</v>
      </c>
      <c r="M205" s="4" t="n">
        <v>14</v>
      </c>
      <c r="N205" s="4"/>
      <c r="O205" s="4" t="s">
        <v>309</v>
      </c>
      <c r="P205" s="4"/>
      <c r="Q205" s="4"/>
      <c r="R205" s="4" t="s">
        <v>71</v>
      </c>
      <c r="S205" s="4"/>
      <c r="T205" s="4"/>
      <c r="U205" s="4" t="s">
        <v>196</v>
      </c>
    </row>
    <row r="206" customFormat="false" ht="15" hidden="false" customHeight="false" outlineLevel="0" collapsed="false">
      <c r="A206" s="4" t="s">
        <v>40</v>
      </c>
      <c r="B206" s="4" t="s">
        <v>628</v>
      </c>
      <c r="C206" s="4" t="s">
        <v>91</v>
      </c>
      <c r="D206" s="4" t="s">
        <v>629</v>
      </c>
      <c r="E206" s="4"/>
      <c r="F206" s="7" t="n">
        <v>33.88781</v>
      </c>
      <c r="G206" s="7" t="n">
        <v>10.10044</v>
      </c>
      <c r="H206" s="8" t="s">
        <v>431</v>
      </c>
      <c r="I206" s="4"/>
      <c r="J206" s="4"/>
      <c r="K206" s="4" t="n">
        <v>1</v>
      </c>
      <c r="L206" s="4" t="n">
        <v>14</v>
      </c>
      <c r="M206" s="4" t="n">
        <v>2</v>
      </c>
      <c r="N206" s="4"/>
      <c r="O206" s="4" t="s">
        <v>309</v>
      </c>
      <c r="P206" s="4"/>
      <c r="Q206" s="4"/>
      <c r="R206" s="4" t="s">
        <v>71</v>
      </c>
      <c r="S206" s="4"/>
      <c r="T206" s="4"/>
      <c r="U206" s="4" t="s">
        <v>196</v>
      </c>
    </row>
    <row r="207" customFormat="false" ht="15" hidden="false" customHeight="false" outlineLevel="0" collapsed="false">
      <c r="A207" s="4" t="s">
        <v>40</v>
      </c>
      <c r="B207" s="4" t="s">
        <v>630</v>
      </c>
      <c r="C207" s="4" t="s">
        <v>91</v>
      </c>
      <c r="D207" s="4" t="s">
        <v>631</v>
      </c>
      <c r="E207" s="4"/>
      <c r="F207" s="4"/>
      <c r="G207" s="4"/>
      <c r="H207" s="8" t="s">
        <v>143</v>
      </c>
      <c r="I207" s="4"/>
      <c r="J207" s="4"/>
      <c r="K207" s="4" t="n">
        <v>1</v>
      </c>
      <c r="L207" s="4" t="n">
        <v>16</v>
      </c>
      <c r="M207" s="4" t="n">
        <v>4</v>
      </c>
      <c r="N207" s="4"/>
      <c r="O207" s="4" t="s">
        <v>309</v>
      </c>
      <c r="P207" s="4"/>
      <c r="Q207" s="4"/>
      <c r="R207" s="4" t="s">
        <v>71</v>
      </c>
      <c r="S207" s="4"/>
      <c r="T207" s="4"/>
      <c r="U207" s="4" t="s">
        <v>196</v>
      </c>
    </row>
    <row r="208" customFormat="false" ht="15" hidden="false" customHeight="false" outlineLevel="0" collapsed="false">
      <c r="A208" s="4" t="s">
        <v>40</v>
      </c>
      <c r="B208" s="4" t="s">
        <v>632</v>
      </c>
      <c r="C208" s="4" t="s">
        <v>91</v>
      </c>
      <c r="D208" s="4" t="s">
        <v>633</v>
      </c>
      <c r="E208" s="4"/>
      <c r="F208" s="4"/>
      <c r="G208" s="4"/>
      <c r="H208" s="8" t="s">
        <v>143</v>
      </c>
      <c r="I208" s="4"/>
      <c r="J208" s="4"/>
      <c r="K208" s="4" t="n">
        <v>1</v>
      </c>
      <c r="L208" s="4" t="n">
        <v>10</v>
      </c>
      <c r="M208" s="4" t="n">
        <v>4</v>
      </c>
      <c r="N208" s="4"/>
      <c r="O208" s="4" t="s">
        <v>309</v>
      </c>
      <c r="P208" s="4"/>
      <c r="Q208" s="4"/>
      <c r="R208" s="4" t="s">
        <v>71</v>
      </c>
      <c r="S208" s="4"/>
      <c r="T208" s="4"/>
      <c r="U208" s="4" t="s">
        <v>196</v>
      </c>
    </row>
    <row r="209" customFormat="false" ht="15" hidden="false" customHeight="false" outlineLevel="0" collapsed="false">
      <c r="A209" s="4" t="s">
        <v>40</v>
      </c>
      <c r="B209" s="4" t="s">
        <v>634</v>
      </c>
      <c r="C209" s="4" t="s">
        <v>91</v>
      </c>
      <c r="D209" s="4" t="s">
        <v>635</v>
      </c>
      <c r="E209" s="4"/>
      <c r="F209" s="4"/>
      <c r="G209" s="4"/>
      <c r="H209" s="8" t="s">
        <v>143</v>
      </c>
      <c r="I209" s="4"/>
      <c r="J209" s="4"/>
      <c r="K209" s="4" t="n">
        <v>1</v>
      </c>
      <c r="L209" s="4" t="n">
        <v>12</v>
      </c>
      <c r="M209" s="4" t="n">
        <v>3</v>
      </c>
      <c r="N209" s="4"/>
      <c r="O209" s="4" t="s">
        <v>309</v>
      </c>
      <c r="P209" s="4"/>
      <c r="Q209" s="4"/>
      <c r="R209" s="4" t="s">
        <v>71</v>
      </c>
      <c r="S209" s="4"/>
      <c r="T209" s="4"/>
      <c r="U209" s="4" t="s">
        <v>196</v>
      </c>
    </row>
    <row r="210" customFormat="false" ht="15" hidden="false" customHeight="false" outlineLevel="0" collapsed="false">
      <c r="A210" s="4" t="s">
        <v>40</v>
      </c>
      <c r="B210" s="4" t="s">
        <v>636</v>
      </c>
      <c r="C210" s="4" t="s">
        <v>91</v>
      </c>
      <c r="D210" s="4" t="s">
        <v>637</v>
      </c>
      <c r="E210" s="4"/>
      <c r="F210" s="4"/>
      <c r="G210" s="4"/>
      <c r="H210" s="8" t="s">
        <v>143</v>
      </c>
      <c r="I210" s="4"/>
      <c r="J210" s="4"/>
      <c r="K210" s="4" t="n">
        <v>1</v>
      </c>
      <c r="L210" s="4" t="n">
        <v>10</v>
      </c>
      <c r="M210" s="4" t="n">
        <v>2</v>
      </c>
      <c r="N210" s="4"/>
      <c r="O210" s="4" t="s">
        <v>309</v>
      </c>
      <c r="P210" s="4"/>
      <c r="Q210" s="4"/>
      <c r="R210" s="4" t="s">
        <v>71</v>
      </c>
      <c r="S210" s="4"/>
      <c r="T210" s="4"/>
      <c r="U210" s="4" t="s">
        <v>196</v>
      </c>
    </row>
    <row r="211" customFormat="false" ht="15" hidden="false" customHeight="false" outlineLevel="0" collapsed="false">
      <c r="A211" s="4" t="s">
        <v>40</v>
      </c>
      <c r="B211" s="4" t="s">
        <v>638</v>
      </c>
      <c r="C211" s="4" t="s">
        <v>91</v>
      </c>
      <c r="D211" s="4" t="s">
        <v>639</v>
      </c>
      <c r="E211" s="4"/>
      <c r="F211" s="4"/>
      <c r="G211" s="4"/>
      <c r="H211" s="8" t="s">
        <v>143</v>
      </c>
      <c r="I211" s="4"/>
      <c r="J211" s="4"/>
      <c r="K211" s="4" t="n">
        <v>1</v>
      </c>
      <c r="L211" s="4" t="n">
        <v>10</v>
      </c>
      <c r="M211" s="4" t="n">
        <v>7</v>
      </c>
      <c r="N211" s="4"/>
      <c r="O211" s="4" t="s">
        <v>309</v>
      </c>
      <c r="P211" s="4"/>
      <c r="Q211" s="4"/>
      <c r="R211" s="4" t="s">
        <v>71</v>
      </c>
      <c r="S211" s="4"/>
      <c r="T211" s="4"/>
      <c r="U211" s="4" t="s">
        <v>196</v>
      </c>
    </row>
    <row r="212" customFormat="false" ht="15" hidden="false" customHeight="false" outlineLevel="0" collapsed="false">
      <c r="A212" s="4" t="s">
        <v>40</v>
      </c>
      <c r="B212" s="4" t="s">
        <v>640</v>
      </c>
      <c r="C212" s="4" t="s">
        <v>91</v>
      </c>
      <c r="D212" s="4" t="s">
        <v>641</v>
      </c>
      <c r="E212" s="4"/>
      <c r="F212" s="7" t="n">
        <v>33.75959</v>
      </c>
      <c r="G212" s="7" t="n">
        <v>10.20412</v>
      </c>
      <c r="H212" s="8" t="s">
        <v>101</v>
      </c>
      <c r="I212" s="4"/>
      <c r="J212" s="4"/>
      <c r="K212" s="4" t="n">
        <v>1</v>
      </c>
      <c r="L212" s="4" t="n">
        <v>5</v>
      </c>
      <c r="M212" s="4" t="n">
        <v>5</v>
      </c>
      <c r="N212" s="4"/>
      <c r="O212" s="4" t="s">
        <v>309</v>
      </c>
      <c r="P212" s="4"/>
      <c r="Q212" s="4"/>
      <c r="R212" s="4" t="s">
        <v>71</v>
      </c>
      <c r="S212" s="4"/>
      <c r="T212" s="4"/>
      <c r="U212" s="4" t="s">
        <v>196</v>
      </c>
    </row>
    <row r="213" customFormat="false" ht="15" hidden="false" customHeight="false" outlineLevel="0" collapsed="false">
      <c r="A213" s="4" t="s">
        <v>40</v>
      </c>
      <c r="B213" s="4" t="s">
        <v>642</v>
      </c>
      <c r="C213" s="4" t="s">
        <v>91</v>
      </c>
      <c r="D213" s="4" t="s">
        <v>643</v>
      </c>
      <c r="E213" s="4"/>
      <c r="F213" s="7" t="n">
        <v>33.75329</v>
      </c>
      <c r="G213" s="7" t="n">
        <v>10.0887</v>
      </c>
      <c r="H213" s="8" t="s">
        <v>101</v>
      </c>
      <c r="I213" s="4"/>
      <c r="J213" s="4"/>
      <c r="K213" s="4" t="n">
        <v>1</v>
      </c>
      <c r="L213" s="4" t="n">
        <v>6</v>
      </c>
      <c r="M213" s="4" t="n">
        <v>4</v>
      </c>
      <c r="N213" s="4"/>
      <c r="O213" s="4" t="s">
        <v>309</v>
      </c>
      <c r="P213" s="4"/>
      <c r="Q213" s="4"/>
      <c r="R213" s="4" t="s">
        <v>71</v>
      </c>
      <c r="S213" s="4"/>
      <c r="T213" s="4"/>
      <c r="U213" s="4" t="s">
        <v>196</v>
      </c>
    </row>
    <row r="214" customFormat="false" ht="15" hidden="false" customHeight="false" outlineLevel="0" collapsed="false">
      <c r="A214" s="4" t="s">
        <v>40</v>
      </c>
      <c r="B214" s="4" t="s">
        <v>644</v>
      </c>
      <c r="C214" s="4" t="s">
        <v>91</v>
      </c>
      <c r="D214" s="4" t="s">
        <v>645</v>
      </c>
      <c r="E214" s="4"/>
      <c r="F214" s="7" t="n">
        <v>33.66546</v>
      </c>
      <c r="G214" s="7" t="n">
        <v>10.3485</v>
      </c>
      <c r="H214" s="8" t="s">
        <v>101</v>
      </c>
      <c r="I214" s="4"/>
      <c r="J214" s="4"/>
      <c r="K214" s="4" t="n">
        <v>1</v>
      </c>
      <c r="L214" s="4" t="n">
        <v>19</v>
      </c>
      <c r="M214" s="4" t="n">
        <v>10</v>
      </c>
      <c r="N214" s="4"/>
      <c r="O214" s="4" t="s">
        <v>309</v>
      </c>
      <c r="P214" s="4"/>
      <c r="Q214" s="4"/>
      <c r="R214" s="4" t="s">
        <v>71</v>
      </c>
      <c r="S214" s="4"/>
      <c r="T214" s="4"/>
      <c r="U214" s="4" t="s">
        <v>196</v>
      </c>
    </row>
  </sheetData>
  <autoFilter ref="A1:U214"/>
  <dataValidations count="4">
    <dataValidation allowBlank="false" errorStyle="stop" operator="between" showDropDown="false" showErrorMessage="false" showInputMessage="false" sqref="C2:C1214" type="list">
      <formula1>القوائم!$A$2:$A$25</formula1>
      <formula2>0</formula2>
    </dataValidation>
    <dataValidation allowBlank="false" errorStyle="stop" operator="between" showDropDown="false" showErrorMessage="false" showInputMessage="false" sqref="R2:R1214" type="list">
      <formula1>القوائم!$D$2:$D$4</formula1>
      <formula2>0</formula2>
    </dataValidation>
    <dataValidation allowBlank="true" error="خط العرض خارج حدود تونس" errorStyle="stop" operator="between" showDropDown="false" showErrorMessage="false" showInputMessage="false" sqref="F2:F1214" type="decimal">
      <formula1>30</formula1>
      <formula2>37.6</formula2>
    </dataValidation>
    <dataValidation allowBlank="true" error="خط الطول خارج حدود تونس" errorStyle="stop" operator="between" showDropDown="false" showErrorMessage="false" showInputMessage="false" sqref="G2:G1214" type="decimal">
      <formula1>7.4</formula1>
      <formula2>11.7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D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2"/>
  </cols>
  <sheetData>
    <row r="1" customFormat="false" ht="15" hidden="false" customHeight="false" outlineLevel="0" collapsed="false">
      <c r="A1" s="9" t="s">
        <v>646</v>
      </c>
      <c r="B1" s="9" t="s">
        <v>647</v>
      </c>
      <c r="C1" s="9" t="s">
        <v>648</v>
      </c>
      <c r="D1" s="9" t="s">
        <v>60</v>
      </c>
    </row>
    <row r="2" customFormat="false" ht="15" hidden="false" customHeight="false" outlineLevel="0" collapsed="false">
      <c r="A2" s="10" t="s">
        <v>256</v>
      </c>
      <c r="B2" s="10" t="s">
        <v>27</v>
      </c>
      <c r="C2" s="10" t="s">
        <v>649</v>
      </c>
      <c r="D2" s="10" t="s">
        <v>650</v>
      </c>
    </row>
    <row r="3" customFormat="false" ht="15" hidden="false" customHeight="false" outlineLevel="0" collapsed="false">
      <c r="A3" s="10" t="s">
        <v>76</v>
      </c>
      <c r="B3" s="10" t="s">
        <v>35</v>
      </c>
      <c r="C3" s="10" t="s">
        <v>32</v>
      </c>
      <c r="D3" s="10" t="s">
        <v>71</v>
      </c>
    </row>
    <row r="4" customFormat="false" ht="15" hidden="false" customHeight="false" outlineLevel="0" collapsed="false">
      <c r="A4" s="10" t="s">
        <v>115</v>
      </c>
      <c r="B4" s="10" t="s">
        <v>41</v>
      </c>
      <c r="C4" s="10" t="s">
        <v>651</v>
      </c>
      <c r="D4" s="10" t="s">
        <v>652</v>
      </c>
    </row>
    <row r="5" customFormat="false" ht="15" hidden="false" customHeight="false" outlineLevel="0" collapsed="false">
      <c r="A5" s="10" t="s">
        <v>65</v>
      </c>
      <c r="B5" s="10" t="s">
        <v>653</v>
      </c>
      <c r="C5" s="10" t="s">
        <v>654</v>
      </c>
    </row>
    <row r="6" customFormat="false" ht="15" hidden="false" customHeight="false" outlineLevel="0" collapsed="false">
      <c r="A6" s="10" t="s">
        <v>655</v>
      </c>
      <c r="C6" s="10" t="s">
        <v>656</v>
      </c>
    </row>
    <row r="7" customFormat="false" ht="15" hidden="false" customHeight="false" outlineLevel="0" collapsed="false">
      <c r="A7" s="10" t="s">
        <v>657</v>
      </c>
    </row>
    <row r="8" customFormat="false" ht="15" hidden="false" customHeight="false" outlineLevel="0" collapsed="false">
      <c r="A8" s="10" t="s">
        <v>366</v>
      </c>
    </row>
    <row r="9" customFormat="false" ht="15" hidden="false" customHeight="false" outlineLevel="0" collapsed="false">
      <c r="A9" s="10" t="s">
        <v>146</v>
      </c>
    </row>
    <row r="10" customFormat="false" ht="15" hidden="false" customHeight="false" outlineLevel="0" collapsed="false">
      <c r="A10" s="10" t="s">
        <v>175</v>
      </c>
    </row>
    <row r="11" customFormat="false" ht="15" hidden="false" customHeight="false" outlineLevel="0" collapsed="false">
      <c r="A11" s="10" t="s">
        <v>122</v>
      </c>
    </row>
    <row r="12" customFormat="false" ht="15" hidden="false" customHeight="false" outlineLevel="0" collapsed="false">
      <c r="A12" s="10" t="s">
        <v>263</v>
      </c>
    </row>
    <row r="13" customFormat="false" ht="15" hidden="false" customHeight="false" outlineLevel="0" collapsed="false">
      <c r="A13" s="10" t="s">
        <v>658</v>
      </c>
    </row>
    <row r="14" customFormat="false" ht="15" hidden="false" customHeight="false" outlineLevel="0" collapsed="false">
      <c r="A14" s="10" t="s">
        <v>85</v>
      </c>
    </row>
    <row r="15" customFormat="false" ht="15" hidden="false" customHeight="false" outlineLevel="0" collapsed="false">
      <c r="A15" s="10" t="s">
        <v>91</v>
      </c>
    </row>
    <row r="16" customFormat="false" ht="15" hidden="false" customHeight="false" outlineLevel="0" collapsed="false">
      <c r="A16" s="10" t="s">
        <v>659</v>
      </c>
    </row>
    <row r="17" customFormat="false" ht="15" hidden="false" customHeight="false" outlineLevel="0" collapsed="false">
      <c r="A17" s="10" t="s">
        <v>188</v>
      </c>
    </row>
    <row r="18" customFormat="false" ht="15" hidden="false" customHeight="false" outlineLevel="0" collapsed="false">
      <c r="A18" s="10" t="s">
        <v>660</v>
      </c>
    </row>
    <row r="19" customFormat="false" ht="15" hidden="false" customHeight="false" outlineLevel="0" collapsed="false">
      <c r="A19" s="10" t="s">
        <v>661</v>
      </c>
    </row>
    <row r="20" customFormat="false" ht="15" hidden="false" customHeight="false" outlineLevel="0" collapsed="false">
      <c r="A20" s="10" t="s">
        <v>166</v>
      </c>
    </row>
    <row r="21" customFormat="false" ht="15" hidden="false" customHeight="false" outlineLevel="0" collapsed="false">
      <c r="A21" s="10" t="s">
        <v>96</v>
      </c>
    </row>
    <row r="22" customFormat="false" ht="15" hidden="false" customHeight="false" outlineLevel="0" collapsed="false">
      <c r="A22" s="10" t="s">
        <v>82</v>
      </c>
    </row>
    <row r="23" customFormat="false" ht="15" hidden="false" customHeight="false" outlineLevel="0" collapsed="false">
      <c r="A23" s="10" t="s">
        <v>79</v>
      </c>
    </row>
    <row r="24" customFormat="false" ht="15" hidden="false" customHeight="false" outlineLevel="0" collapsed="false">
      <c r="A24" s="10" t="s">
        <v>99</v>
      </c>
    </row>
    <row r="25" customFormat="false" ht="15" hidden="false" customHeight="false" outlineLevel="0" collapsed="false">
      <c r="A25" s="1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2026-10-27T04:45:37Z</dcterms:created>
  <dc:creator>openpyxl</dc:creator>
  <dc:description/>
  <dc:language>en-US</dc:language>
  <cp:lastModifiedBy/>
  <dcterms:modified xsi:type="dcterms:W3CDTF">2026-10-27T04:45:37Z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